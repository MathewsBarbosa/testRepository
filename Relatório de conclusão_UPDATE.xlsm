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60" yWindow="840" windowWidth="13770" windowHeight="11145" tabRatio="461" activeTab="2"/>
  </bookViews>
  <sheets>
    <sheet name="Relatório de conclusão" sheetId="1" r:id="rId1"/>
    <sheet name="Folha de apoio" sheetId="2" state="hidden" r:id="rId2"/>
    <sheet name="Data" sheetId="4" r:id="rId3"/>
    <sheet name="Folha de Apoio 2" sheetId="5" state="hidden" r:id="rId4"/>
  </sheets>
  <functionGroups builtInGroupCount="17"/>
  <definedNames>
    <definedName name="_C5">#REF!</definedName>
    <definedName name="Alteracao_num">'Relatório de conclusão'!$F$11</definedName>
    <definedName name="Bemi">'Relatório de conclusão'!$H$7</definedName>
    <definedName name="Bemi_Bezeichnung">'Folha de apoio'!$G$2:$G$10</definedName>
    <definedName name="Descricao_altera1">'Relatório de conclusão'!$B$21</definedName>
    <definedName name="Descricao_altera10">'Relatório de conclusão'!$B$30</definedName>
    <definedName name="Descricao_altera11">'Relatório de conclusão'!$B$31</definedName>
    <definedName name="Descricao_altera12">'Relatório de conclusão'!$B$32</definedName>
    <definedName name="Descricao_altera13">'Relatório de conclusão'!$B$33</definedName>
    <definedName name="Descricao_altera14">'Relatório de conclusão'!$B$34</definedName>
    <definedName name="Descricao_altera15">'Relatório de conclusão'!$B$35</definedName>
    <definedName name="Descricao_altera16">'Relatório de conclusão'!$B$36</definedName>
    <definedName name="Descricao_altera17">'Relatório de conclusão'!$B$37</definedName>
    <definedName name="Descricao_altera18">'Relatório de conclusão'!$B$38</definedName>
    <definedName name="Descricao_altera19">'Relatório de conclusão'!$B$39</definedName>
    <definedName name="Descricao_altera2">'Relatório de conclusão'!$B$22</definedName>
    <definedName name="Descricao_altera20">'Relatório de conclusão'!$B$40</definedName>
    <definedName name="Descricao_altera21">'Relatório de conclusão'!$B$41</definedName>
    <definedName name="Descricao_altera22">'Relatório de conclusão'!$B$42</definedName>
    <definedName name="Descricao_altera23">'Relatório de conclusão'!$B$43</definedName>
    <definedName name="Descricao_altera24">'Relatório de conclusão'!$B$44</definedName>
    <definedName name="Descricao_altera25">'Relatório de conclusão'!$B$45</definedName>
    <definedName name="Descricao_altera26">'Relatório de conclusão'!$B$46</definedName>
    <definedName name="Descricao_altera27">'Relatório de conclusão'!$B$47</definedName>
    <definedName name="Descricao_altera28">'Relatório de conclusão'!$B$48</definedName>
    <definedName name="Descricao_altera29">'Relatório de conclusão'!$B$49</definedName>
    <definedName name="Descricao_altera3">'Relatório de conclusão'!$B$23</definedName>
    <definedName name="Descricao_altera30">'Relatório de conclusão'!$B$50</definedName>
    <definedName name="Descricao_altera4">'Relatório de conclusão'!$B$24</definedName>
    <definedName name="Descricao_altera5">'Relatório de conclusão'!$B$25</definedName>
    <definedName name="Descricao_altera6">'Relatório de conclusão'!$B$26</definedName>
    <definedName name="Descricao_altera7">'Relatório de conclusão'!$B$27</definedName>
    <definedName name="Descricao_altera8">'Relatório de conclusão'!$B$28</definedName>
    <definedName name="Descricao_altera9">'Relatório de conclusão'!$B$29</definedName>
    <definedName name="Durchlaufplan">'Relatório de conclusão'!#REF!</definedName>
    <definedName name="DurchlaufplanDatum">'Relatório de conclusão'!#REF!</definedName>
    <definedName name="Firma">'Relatório de conclusão'!#REF!</definedName>
    <definedName name="FirmaTelefon">'Relatório de conclusão'!#REF!</definedName>
    <definedName name="Meldung">'Relatório de conclusão'!$C$14</definedName>
    <definedName name="MeldungDatum">'Relatório de conclusão'!$I$14</definedName>
    <definedName name="meldungen">'Folha de apoio'!$A$2:$A$13</definedName>
    <definedName name="Methodenplan">'Relatório de conclusão'!#REF!</definedName>
    <definedName name="MethodenplanDatum">'Relatório de conclusão'!#REF!</definedName>
    <definedName name="MQB_A0">#REF!</definedName>
    <definedName name="NC_num">'Relatório de conclusão'!$H$11</definedName>
    <definedName name="OP">'Folha de apoio'!$E$3:$E$12</definedName>
    <definedName name="Outros">'Relatório de conclusão'!$E$11</definedName>
    <definedName name="_xlnm.Print_Area" localSheetId="0">'Relatório de conclusão'!$A$1:$J$69</definedName>
    <definedName name="Projekt">'Relatório de conclusão'!$C$5</definedName>
    <definedName name="Projeto">'Relatório de conclusão'!$C$5</definedName>
    <definedName name="Referenzdaten">'Relatório de conclusão'!#REF!</definedName>
    <definedName name="ReferenzdatenDatum">'Relatório de conclusão'!#REF!</definedName>
    <definedName name="Teilbezeichnung">'Relatório de conclusão'!#REF!</definedName>
    <definedName name="Teilmodell">'Relatório de conclusão'!#REF!</definedName>
    <definedName name="TeilmodellDatum">'Relatório de conclusão'!#REF!</definedName>
    <definedName name="Teilnummer">'Relatório de conclusão'!$H$5</definedName>
    <definedName name="Teilzeichnung">'Relatório de conclusão'!#REF!</definedName>
    <definedName name="TeilzeichnungDatum">'Relatório de conclusão'!#REF!</definedName>
    <definedName name="Verantwortlicher">'Relatório de conclusão'!$C$66</definedName>
    <definedName name="VerantwortlicherTelefon">'Relatório de conclusão'!$C$68</definedName>
    <definedName name="XMasse">'Relatório de conclusão'!#REF!</definedName>
    <definedName name="XMasseDatum">'Relatório de conclusão'!#REF!</definedName>
    <definedName name="Ziehanlage">'Relatório de conclusão'!#REF!</definedName>
    <definedName name="ZiehanlageDatum">'Relatório de conclusão'!#REF!</definedName>
  </definedNames>
  <calcPr calcId="145621"/>
</workbook>
</file>

<file path=xl/calcChain.xml><?xml version="1.0" encoding="utf-8"?>
<calcChain xmlns="http://schemas.openxmlformats.org/spreadsheetml/2006/main">
  <c r="AB5" i="1" l="1"/>
  <c r="AC5" i="1"/>
  <c r="C68" i="1" l="1"/>
  <c r="W5" i="1" l="1"/>
  <c r="P5" i="1"/>
  <c r="M5" i="1"/>
  <c r="AB2" i="1" l="1"/>
  <c r="Z5" i="1"/>
  <c r="Y5" i="1"/>
  <c r="W66" i="1" l="1"/>
  <c r="O5" i="1" l="1"/>
  <c r="R5" i="1" l="1"/>
  <c r="S5" i="1"/>
  <c r="R2" i="1" l="1"/>
  <c r="R1" i="1"/>
  <c r="W68" i="1" l="1"/>
  <c r="I14" i="1" l="1"/>
  <c r="M68" i="1" l="1"/>
  <c r="M66" i="1"/>
</calcChain>
</file>

<file path=xl/sharedStrings.xml><?xml version="1.0" encoding="utf-8"?>
<sst xmlns="http://schemas.openxmlformats.org/spreadsheetml/2006/main" count="289" uniqueCount="227">
  <si>
    <t>OP10</t>
  </si>
  <si>
    <t>OP20</t>
  </si>
  <si>
    <t>OP30</t>
  </si>
  <si>
    <t>OP40</t>
  </si>
  <si>
    <t>OP50</t>
  </si>
  <si>
    <t>OP60</t>
  </si>
  <si>
    <t>OP70</t>
  </si>
  <si>
    <t>Platinenschnitt</t>
  </si>
  <si>
    <t>Ziehwerkzeug</t>
  </si>
  <si>
    <t>Beschneide-Werkzeug</t>
  </si>
  <si>
    <t>Nachform-Beschneide-Trenn-Werkzeug</t>
  </si>
  <si>
    <t>Nachform-Werkzeug</t>
  </si>
  <si>
    <t>Nachform-Beschneide-Werkzeug</t>
  </si>
  <si>
    <t>OP19</t>
  </si>
  <si>
    <t>Relatório</t>
  </si>
  <si>
    <t>Projecto</t>
  </si>
  <si>
    <t>Número da peça</t>
  </si>
  <si>
    <t>Índice do TM</t>
  </si>
  <si>
    <t>Índice do TZ</t>
  </si>
  <si>
    <t>OP19.1</t>
  </si>
  <si>
    <t>Responsável</t>
  </si>
  <si>
    <t>Telefone</t>
  </si>
  <si>
    <t>VW AE/CAD</t>
  </si>
  <si>
    <t>Empresa/Depart.</t>
  </si>
  <si>
    <t>Relatório de conclusão</t>
  </si>
  <si>
    <t>Alteração de engenharia</t>
  </si>
  <si>
    <t>Descrição da alteração</t>
  </si>
  <si>
    <t>Simulação de embutissagem</t>
  </si>
  <si>
    <t>Durchlaufplan (DLP)</t>
  </si>
  <si>
    <t>NC</t>
  </si>
  <si>
    <t>Integração</t>
  </si>
  <si>
    <t>GMA</t>
  </si>
  <si>
    <t>Outros</t>
  </si>
  <si>
    <t>Protocolo de aceitação Die Design</t>
  </si>
  <si>
    <t>Susana Taveira</t>
  </si>
  <si>
    <t>Link Lista Material</t>
  </si>
  <si>
    <t>Link Die Design</t>
  </si>
  <si>
    <t>Link Dados Referência</t>
  </si>
  <si>
    <t>Mário Santos</t>
  </si>
  <si>
    <t>Bemi-Nr</t>
  </si>
  <si>
    <t>Link outros</t>
  </si>
  <si>
    <t>+351 21 211 2225</t>
  </si>
  <si>
    <t>+351 21 211 2764</t>
  </si>
  <si>
    <t>+351 21 211 3299</t>
  </si>
  <si>
    <t>+351 21 211 2205</t>
  </si>
  <si>
    <t>+351 21 211 2094</t>
  </si>
  <si>
    <t>+351 21 211 3064</t>
  </si>
  <si>
    <t>+351 21 211 2554</t>
  </si>
  <si>
    <t>+351 21 211 2303</t>
  </si>
  <si>
    <t>+351 21 211 2208</t>
  </si>
  <si>
    <t>Gonçalo Cardoso</t>
  </si>
  <si>
    <t>Joel Cristiano</t>
  </si>
  <si>
    <t>Jorge Geraldes</t>
  </si>
  <si>
    <t>Filipe Gomes</t>
  </si>
  <si>
    <t>Bernardo Oliveira</t>
  </si>
  <si>
    <t>Hugo Alexandre Oliveira</t>
  </si>
  <si>
    <t>Luis Alberto Oliveira</t>
  </si>
  <si>
    <t>Rui Pardal</t>
  </si>
  <si>
    <t>Luis B Oliveira</t>
  </si>
  <si>
    <t>Avelino Patinha</t>
  </si>
  <si>
    <t>Rui Pires</t>
  </si>
  <si>
    <t>Tiago Ribeiro</t>
  </si>
  <si>
    <t>Joao Nuno Teixeira</t>
  </si>
  <si>
    <t>CAD</t>
  </si>
  <si>
    <t>Estado</t>
  </si>
  <si>
    <t>Assunto</t>
  </si>
  <si>
    <t>Logística</t>
  </si>
  <si>
    <t>Parque Máquinas</t>
  </si>
  <si>
    <t>Try-out</t>
  </si>
  <si>
    <t>Qualidade</t>
  </si>
  <si>
    <t>Budget</t>
  </si>
  <si>
    <t>Project Leaders</t>
  </si>
  <si>
    <t>Manutenção</t>
  </si>
  <si>
    <t>Sousa-Alves, Renata;</t>
  </si>
  <si>
    <t>Ameixa, Jose &lt;Jose.Ameixa@Volkswagen.pt&gt;; Campos, Antonio &lt;Antonio.Campos@Volkswagen.pt&gt;; Francisco, Frederico &lt;Frederico.Francisco@Volkswagen.pt&gt;; NUNES, HELDER-MARIA &lt;HELDER-MARIA.NUNES@VOLKSWAGEN.PT&gt;;</t>
  </si>
  <si>
    <t>Catarino, Abilio &lt;Abilio.Catarino@Volkswagen.pt&gt;; Conde, Joao &lt;Joao.Conde@Volkswagen.pt&gt;; Felicio, Jose &lt;Jose.Felicio@Volkswagen.pt&gt;; Frango, Francisco &lt;Francisco.Frango@Volkswagen.pt&gt;; Lourenco, Joao-Carlos &lt;Joao-Carlos.Lourenco@Volkswagen.pt&gt;; MACHADO, JOAQUIM &lt;JOAQUIM.MACHADO@VOLKSWAGEN.PT&gt;; Conceicao, Manuel &lt;Manuel.Conceicao@Volkswagen.pt&gt;; Oliveira, Rafael &lt;Rafael.Oliveira@Volkswagen.pt&gt;;</t>
  </si>
  <si>
    <t>Autoeuropa-CAD;</t>
  </si>
  <si>
    <t>Andre Begelsbacher</t>
  </si>
  <si>
    <t>Die Design</t>
  </si>
  <si>
    <t>Revisão (RE)</t>
  </si>
  <si>
    <t>Lista de Material</t>
  </si>
  <si>
    <t>Método plano para Inicio Die Design (MK)</t>
  </si>
  <si>
    <t>Método plano para dados Referencia (3D)</t>
  </si>
  <si>
    <t>Costa, Luis-Humberto &lt;Luis-Humberto.Costa@Volkswagen.pt&gt;; Gomes, Carla &lt;Carla.Gomes@Volkswagen.pt&gt;; Pereira, Antonio-Envia &lt;Antonio-Envia.Pereira@Volkswagen.pt&gt;;SIMOES, MAURO &lt;MAURO.SIMOES@VOLKSWAGEN.PT&gt;;</t>
  </si>
  <si>
    <t>+351 21 211 2551</t>
  </si>
  <si>
    <t>Alle Operation</t>
  </si>
  <si>
    <t xml:space="preserve">Validado por: </t>
  </si>
  <si>
    <t xml:space="preserve">Dados referência </t>
  </si>
  <si>
    <t>Leerstation</t>
  </si>
  <si>
    <t>Automation</t>
  </si>
  <si>
    <t>Modelos (MD)</t>
  </si>
  <si>
    <t>Final (KD)</t>
  </si>
  <si>
    <t>CCAR</t>
  </si>
  <si>
    <t>Link Relatório de Conclusão</t>
  </si>
  <si>
    <t>MQB_A1</t>
  </si>
  <si>
    <t>5Q0.803.106</t>
  </si>
  <si>
    <t>Selecione…</t>
  </si>
  <si>
    <t>Correções dimensionais</t>
  </si>
  <si>
    <t>MQB_A0</t>
  </si>
  <si>
    <t>2Q0.805.397_398</t>
  </si>
  <si>
    <t>Revisão 15</t>
  </si>
  <si>
    <t>Método Plano</t>
  </si>
  <si>
    <t>Projetos</t>
  </si>
  <si>
    <t>MQB_B_PHEV</t>
  </si>
  <si>
    <t>VW270 - Polo</t>
  </si>
  <si>
    <t>VW271 - LAK_Polo</t>
  </si>
  <si>
    <t>VW276_EU</t>
  </si>
  <si>
    <t>VW276_CN</t>
  </si>
  <si>
    <t>VW376 - Tiguan</t>
  </si>
  <si>
    <t>VW378 - Touran</t>
  </si>
  <si>
    <t>VW379 - Golf_A7_Plus</t>
  </si>
  <si>
    <t>VW483_EU - Passat CC</t>
  </si>
  <si>
    <t>VW483_CN - Passat CC</t>
  </si>
  <si>
    <t>AU270 - Audi A1</t>
  </si>
  <si>
    <t>Porsche_C7NF</t>
  </si>
  <si>
    <t>DLP/TMZ (Durchlaufplan)</t>
  </si>
  <si>
    <t>Beschneide -Loch - Werkzeug</t>
  </si>
  <si>
    <t>2Q0.809.121_122</t>
  </si>
  <si>
    <t>5Q0.803.105</t>
  </si>
  <si>
    <t>5Q0.803.107</t>
  </si>
  <si>
    <t>5Q0.803.108</t>
  </si>
  <si>
    <t>3Q0.813.115</t>
  </si>
  <si>
    <t>3Q0.813.116</t>
  </si>
  <si>
    <t>510.823.105_155</t>
  </si>
  <si>
    <t>3G8.823.105</t>
  </si>
  <si>
    <t>3G8.823.155</t>
  </si>
  <si>
    <t>82A.823.105_155</t>
  </si>
  <si>
    <t>82G.831.111_112_311_312</t>
  </si>
  <si>
    <t>2G0.823.105</t>
  </si>
  <si>
    <t>2G0.823.155</t>
  </si>
  <si>
    <t>2G0.823.198</t>
  </si>
  <si>
    <t>6EC.827.159</t>
  </si>
  <si>
    <t>2GA.823.179_180</t>
  </si>
  <si>
    <t>2GA.821.105</t>
  </si>
  <si>
    <t>2GA.823.105</t>
  </si>
  <si>
    <t>2GA.823.155</t>
  </si>
  <si>
    <t>2GD.831.311_312</t>
  </si>
  <si>
    <t>5NA.813.305</t>
  </si>
  <si>
    <t>5NA.823.105</t>
  </si>
  <si>
    <t>5NA.823.155</t>
  </si>
  <si>
    <t>5NA.823.198</t>
  </si>
  <si>
    <t>5NA.831.209</t>
  </si>
  <si>
    <t>5NA.833.209</t>
  </si>
  <si>
    <t>5TA.813.309</t>
  </si>
  <si>
    <t>5TA.827.106</t>
  </si>
  <si>
    <t>5TA.827.159</t>
  </si>
  <si>
    <t>Peças</t>
  </si>
  <si>
    <t>981.503.501</t>
  </si>
  <si>
    <t>5Q0.803.233_4</t>
  </si>
  <si>
    <t>3Q0.813.115.B</t>
  </si>
  <si>
    <t>3Q0.813.116.B</t>
  </si>
  <si>
    <t>5TB.802.555</t>
  </si>
  <si>
    <t>5TC.802.555</t>
  </si>
  <si>
    <t>5TA.813.305</t>
  </si>
  <si>
    <t>5TA.810.143</t>
  </si>
  <si>
    <t>5TA.809.210</t>
  </si>
  <si>
    <t>5TA.809.209</t>
  </si>
  <si>
    <t>5TA.802.555</t>
  </si>
  <si>
    <t>5TA.827.105</t>
  </si>
  <si>
    <t>82A.823.155</t>
  </si>
  <si>
    <t>82G.833.311</t>
  </si>
  <si>
    <t>VW276 - TROC</t>
  </si>
  <si>
    <t>VW216 - TCROSS</t>
  </si>
  <si>
    <t>2GM.823.105</t>
  </si>
  <si>
    <t>2GM.823.155</t>
  </si>
  <si>
    <t>2GM.821.105</t>
  </si>
  <si>
    <t>2GM.831.209</t>
  </si>
  <si>
    <t>2GM.833.209</t>
  </si>
  <si>
    <t>Origem</t>
  </si>
  <si>
    <t>Tipo de NC</t>
  </si>
  <si>
    <t>Dados de Referência</t>
  </si>
  <si>
    <t>Modelos Esferovite</t>
  </si>
  <si>
    <t>Simulação</t>
  </si>
  <si>
    <t>Ângulos de Corte</t>
  </si>
  <si>
    <t>Xmasse</t>
  </si>
  <si>
    <t>Colisão</t>
  </si>
  <si>
    <t>Templates Internos</t>
  </si>
  <si>
    <t>Verificação</t>
  </si>
  <si>
    <t>Sucata</t>
  </si>
  <si>
    <t>Conceito</t>
  </si>
  <si>
    <t>Funcional</t>
  </si>
  <si>
    <t>Superfícies</t>
  </si>
  <si>
    <t>Marcadores</t>
  </si>
  <si>
    <t>Facas/Alterar Corte</t>
  </si>
  <si>
    <t>Druchbild</t>
  </si>
  <si>
    <t>Falha Material</t>
  </si>
  <si>
    <t>Chochos/Poros de Fundição</t>
  </si>
  <si>
    <t>Fundição Empenada</t>
  </si>
  <si>
    <t>Material Errado</t>
  </si>
  <si>
    <t>Outras</t>
  </si>
  <si>
    <t xml:space="preserve">Tipo </t>
  </si>
  <si>
    <t>CC</t>
  </si>
  <si>
    <t>Norberto Carvalho</t>
  </si>
  <si>
    <t>Página 2 de 3</t>
  </si>
  <si>
    <t>Página 3 de 3</t>
  </si>
  <si>
    <t>Mario.Santos@Volkswagen.pt;Oscar.Pires@Volkswagen.pt</t>
  </si>
  <si>
    <t xml:space="preserve"> Chatinho, Antonio &lt;Antonio.Chatinho@Volkswagen.pt&gt;; Cichon, Martin &lt;martin.cichon@volkswagen.pt&gt;; Ribeiro, Tiago &lt;Tiago.Ribeiro@Volkswagen.pt&gt;; Fernandes, Dina &lt;Dina.Fernandes@Volkswagen.pt&gt;; Meira, Jorge &lt;Jorge.Meira@Volkswagen.pt&gt;; Pereira, Andre-Ricardo &lt;Andre-Ricardo.Pereira@Volkswagen.pt&gt;;Rodrigo-Jose.Leal@Volkswagen.pt; Monteiro, Hugo &lt;Hugo.Monteiro@Volkswagen.pt&gt;;</t>
  </si>
  <si>
    <t>KD</t>
  </si>
  <si>
    <t>+351 21 211 2598</t>
  </si>
  <si>
    <t>Andre Guerreiro</t>
  </si>
  <si>
    <t>Andre Soares</t>
  </si>
  <si>
    <t>Antonio Antunes</t>
  </si>
  <si>
    <t>Mario Santos</t>
  </si>
  <si>
    <t>Oscar Pires</t>
  </si>
  <si>
    <t>-</t>
  </si>
  <si>
    <t>Página 1 de 1</t>
  </si>
  <si>
    <t>NC's</t>
  </si>
  <si>
    <t>Amaral, Carlos &lt;Carlos.Amaral@Volkswagen.pt&gt;; Barrocas, Jose; Carvalho, Norberto &lt;Norberto.Carvalho@Volkswagen.pt&gt;; Carvalho, Ricardo-Joao &lt;Ricardo-Joao.Carvalho@Volkswagen.pt&gt;; Carvalho, Ricardo-Nuno &lt;Ricardo-Nuno.Carvalho@Volkswagen.pt&gt;; Coelho, Francisco &lt;Francisco.Coelho@Volkswagen.pt&gt;; Taveira, Susana &lt;Susana.Taveira@Volkswagen.pt&gt;; COSTA, LUIS-MIGUEL &lt;LUIS-MIGUEL.COSTA@VOLKSWAGEN.PT&gt;; Cruz, Nuno &lt;Nuno.Cruz@Volkswagen.pt&gt;; Dias, Paulo &lt;Paulo.Dias@Volkswagen.pt&gt;; Fernandes, Cesar-Miguel &lt;Cesar-Miguel.Fernandes@Volkswagen.pt&gt;; Fonseca, Maria-Margarida &lt;Maria-Margarida.Fonseca@Volkswagen.pt&gt;; Infante, Joao &lt;Joao.Infante@Volkswagen.pt&gt;; LANCA, JOAQUIM &lt;JOAQUIM.LANCA@VOLKSWAGEN.PT&gt;; Lopes, Rui-Manuel &lt;Rui-Manuel.Lopes@Volkswagen.pt&gt;; Maduro, Antonio &lt;Antonio.Maduro@Volkswagen.pt&gt;; MARTINS, RICARDO &lt;RICARDO.MARTINS@VOLKSWAGEN.PT&gt;; Oliveira, Rui-Miguel &lt;Rui-Miguel.Oliveira@Volkswagen.pt&gt;; Pereira, Luis-Fernando &lt;Luis-Fernando.Pereira@Volkswagen.pt&gt;; Rosa, Joao-Paulo &lt;Joao-Paulo.Rosa@Volkswagen.pt&gt;; Santos, Joao-Severino &lt;Joao-Severino.Santos@Volkswagen.pt&gt;; Santos, Nuno-Filipe &lt;Nuno-Filipe.Santos@Volkswagen.pt&gt;; Simoes, Francisco &lt;Francisco.Simoes@Volkswagen.pt&gt;; Simplicio, Jose &lt;Jose.Simplicio@Volkswagen.pt&gt;; Valentim, Joaquim &lt;Joaquim.Valentim@Volkswagen.pt&gt;; Oliveira, Bruno &lt;BRUNO.OLIVEIRA@VOLKSWAGEN.PT&gt;; Neves, Hugo-Miguel &lt;HUGO1.NEVES@VOLKSWAGEN.PT&gt;;Rafacho, Elson &lt;elson.rafacho@volkswagen.pt&gt;;Verdugo, Telmo &lt;Telmo.Verdugo@Volkswagen.pt&gt;;</t>
  </si>
  <si>
    <t>Carreira, Pedro &lt;Pedro.Carreira@Volkswagen.pt&gt;; Casa, Raul-Nova &lt;Raul-Nova.Casa@Volkswagen.pt&gt;; Casal, Miguel &lt;Miguel.Casal@Volkswagen.pt&gt;; Chamorrinha, Carlos &lt;Carlos.Chamorrinha@Volkswagen.pt&gt;; Costa, Joao-Pedro &lt;Joao-Pedro.Costa@Volkswagen.pt&gt;; Cunha, Jorge &lt;Jorge.Cunha@Volkswagen.pt&gt;; Cunha, Paulo &lt;Paulo.Cunha@Volkswagen.pt&gt;; Duarte, Rui-Miguel &lt;Rui-Miguel.Duarte@Volkswagen.pt&gt;; Fernandes, Antonio-Manuel &lt;Antonio-Manuel.Fernandes@Volkswagen.pt&gt;; Fero, Roberto &lt;Roberto.Fero@Volkswagen.pt&gt;; Goncalves, Manuel &lt;Manuel.Goncalves@Volkswagen.pt&gt;; Martins, Antonio-Guerra &lt;Antonio-Guerra.Martins@Volkswagen.pt&gt;; Nunes, Rui &lt;Rui.Nunes@Volkswagen.pt&gt;; Oliveira, Pedro-Jose &lt;Pedro-Jose.Oliveira@Volkswagen.pt&gt;; Freire, Paulo-Jorge &lt;Paulo.Freire@Volkswagen.pt&gt;; Mendes, Claudia-Sofia &lt;Claudia-Sofia.Mendes@Volkswagen.pt&gt;;</t>
  </si>
  <si>
    <t>Defeito Superfícies</t>
  </si>
  <si>
    <t>VW481_PA_Passat</t>
  </si>
  <si>
    <t>3G5.817.111_Dach</t>
  </si>
  <si>
    <t>3G9.817.111_Dach_Normaldach</t>
  </si>
  <si>
    <t/>
  </si>
  <si>
    <t>Selecione...</t>
  </si>
  <si>
    <t>DLP</t>
  </si>
  <si>
    <t>MP</t>
  </si>
  <si>
    <t>Tipo Relatório</t>
  </si>
  <si>
    <t>Test</t>
  </si>
  <si>
    <t>MD</t>
  </si>
  <si>
    <t>FREI</t>
  </si>
  <si>
    <t>Operação/MP</t>
  </si>
  <si>
    <t>Operação/DD/REF</t>
  </si>
  <si>
    <t>NC00</t>
  </si>
  <si>
    <t>NCXX</t>
  </si>
  <si>
    <t>Dados de Ferramenta</t>
  </si>
  <si>
    <t>VW270 - Polo - 2G0.823.105 - 2017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</si>
</sst>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color indexed="22"/>
      <name val="Arial"/>
      <family val="2"/>
    </font>
    <font>
      <sz val="8"/>
      <color rgb="FF000000"/>
      <name val="Tahoma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b/>
      <sz val="10"/>
      <color theme="0"/>
      <name val="Arial"/>
      <family val="2"/>
    </font>
    <font>
      <u/>
      <sz val="10"/>
      <color rgb="FF0000FF"/>
      <name val="Arial"/>
      <family val="2"/>
    </font>
    <font>
      <sz val="24"/>
      <name val="Arial"/>
      <family val="2"/>
    </font>
    <font>
      <sz val="10"/>
      <color theme="0" tint="-0.3499862666707357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2" fillId="0" borderId="0"/>
  </cellStyleXfs>
  <cellXfs count="178">
    <xf numFmtId="0" fontId="0" fillId="0" borderId="0" xfId="0"/>
    <xf numFmtId="0" fontId="2" fillId="2" borderId="0" xfId="0" applyFont="1" applyFill="1" applyAlignment="1">
      <alignment vertical="center"/>
    </xf>
    <xf numFmtId="0" fontId="2" fillId="0" borderId="4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2" fillId="0" borderId="8" xfId="0" applyFont="1" applyFill="1" applyBorder="1" applyAlignment="1">
      <alignment vertical="center"/>
    </xf>
    <xf numFmtId="0" fontId="2" fillId="2" borderId="0" xfId="0" applyFont="1" applyFill="1" applyAlignment="1" applyProtection="1">
      <alignment horizontal="left" vertical="center"/>
      <protection hidden="1"/>
    </xf>
    <xf numFmtId="0" fontId="2" fillId="0" borderId="2" xfId="0" applyFont="1" applyFill="1" applyBorder="1" applyAlignment="1">
      <alignment vertical="center"/>
    </xf>
    <xf numFmtId="0" fontId="2" fillId="0" borderId="4" xfId="0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2" fillId="0" borderId="5" xfId="0" applyFont="1" applyFill="1" applyBorder="1" applyAlignment="1" applyProtection="1">
      <alignment vertical="center"/>
    </xf>
    <xf numFmtId="0" fontId="2" fillId="2" borderId="0" xfId="0" applyFont="1" applyFill="1" applyAlignment="1" applyProtection="1">
      <alignment vertical="center"/>
      <protection hidden="1"/>
    </xf>
    <xf numFmtId="0" fontId="2" fillId="0" borderId="1" xfId="0" applyFont="1" applyFill="1" applyBorder="1" applyAlignment="1" applyProtection="1">
      <alignment vertical="center"/>
    </xf>
    <xf numFmtId="0" fontId="2" fillId="0" borderId="2" xfId="0" applyFont="1" applyFill="1" applyBorder="1" applyAlignment="1" applyProtection="1">
      <alignment vertical="center"/>
    </xf>
    <xf numFmtId="0" fontId="2" fillId="0" borderId="3" xfId="0" applyFont="1" applyFill="1" applyBorder="1" applyAlignment="1" applyProtection="1">
      <alignment vertical="center"/>
    </xf>
    <xf numFmtId="0" fontId="2" fillId="0" borderId="6" xfId="0" applyFont="1" applyFill="1" applyBorder="1" applyAlignment="1" applyProtection="1">
      <alignment vertical="center"/>
    </xf>
    <xf numFmtId="0" fontId="2" fillId="0" borderId="7" xfId="0" applyFont="1" applyFill="1" applyBorder="1" applyAlignment="1" applyProtection="1">
      <alignment vertical="center"/>
    </xf>
    <xf numFmtId="0" fontId="2" fillId="0" borderId="8" xfId="0" applyFont="1" applyFill="1" applyBorder="1" applyAlignment="1" applyProtection="1">
      <alignment vertical="center"/>
    </xf>
    <xf numFmtId="49" fontId="2" fillId="3" borderId="0" xfId="0" applyNumberFormat="1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0" fillId="3" borderId="0" xfId="0" applyFill="1" applyAlignment="1">
      <alignment vertical="center"/>
    </xf>
    <xf numFmtId="0" fontId="2" fillId="3" borderId="15" xfId="0" applyFont="1" applyFill="1" applyBorder="1" applyAlignment="1" applyProtection="1">
      <alignment horizontal="left"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hidden="1"/>
    </xf>
    <xf numFmtId="0" fontId="0" fillId="3" borderId="15" xfId="0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8" fillId="3" borderId="15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left" vertical="center"/>
    </xf>
    <xf numFmtId="49" fontId="0" fillId="3" borderId="15" xfId="0" applyNumberFormat="1" applyFill="1" applyBorder="1" applyAlignment="1">
      <alignment vertical="center"/>
    </xf>
    <xf numFmtId="49" fontId="2" fillId="3" borderId="15" xfId="0" applyNumberFormat="1" applyFont="1" applyFill="1" applyBorder="1" applyAlignment="1">
      <alignment vertical="center"/>
    </xf>
    <xf numFmtId="0" fontId="2" fillId="0" borderId="16" xfId="0" applyFont="1" applyFill="1" applyBorder="1" applyAlignment="1" applyProtection="1">
      <alignment vertical="center"/>
    </xf>
    <xf numFmtId="0" fontId="2" fillId="0" borderId="18" xfId="0" applyFont="1" applyFill="1" applyBorder="1" applyAlignment="1" applyProtection="1">
      <alignment vertical="center"/>
    </xf>
    <xf numFmtId="0" fontId="8" fillId="3" borderId="0" xfId="0" applyFont="1" applyFill="1" applyBorder="1" applyAlignment="1" applyProtection="1">
      <alignment horizontal="left" vertical="center"/>
      <protection hidden="1"/>
    </xf>
    <xf numFmtId="0" fontId="8" fillId="3" borderId="0" xfId="0" applyFont="1" applyFill="1" applyAlignment="1">
      <alignment vertical="center"/>
    </xf>
    <xf numFmtId="0" fontId="2" fillId="0" borderId="22" xfId="0" applyFont="1" applyFill="1" applyBorder="1" applyAlignment="1">
      <alignment vertical="center"/>
    </xf>
    <xf numFmtId="0" fontId="2" fillId="0" borderId="23" xfId="0" applyFont="1" applyFill="1" applyBorder="1" applyAlignment="1">
      <alignment vertical="center"/>
    </xf>
    <xf numFmtId="0" fontId="2" fillId="0" borderId="0" xfId="0" applyFont="1"/>
    <xf numFmtId="0" fontId="2" fillId="0" borderId="7" xfId="0" applyFont="1" applyFill="1" applyBorder="1" applyAlignment="1">
      <alignment horizontal="right" vertical="center"/>
    </xf>
    <xf numFmtId="49" fontId="2" fillId="0" borderId="0" xfId="0" applyNumberFormat="1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horizontal="right" vertical="center"/>
    </xf>
    <xf numFmtId="0" fontId="2" fillId="0" borderId="0" xfId="0" applyFont="1" applyFill="1" applyBorder="1" applyAlignment="1" applyProtection="1">
      <alignment horizontal="right" vertical="center"/>
    </xf>
    <xf numFmtId="0" fontId="2" fillId="0" borderId="0" xfId="0" applyFont="1" applyFill="1" applyBorder="1" applyAlignment="1">
      <alignment horizontal="center" vertical="center"/>
    </xf>
    <xf numFmtId="0" fontId="13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>
      <alignment vertical="center"/>
    </xf>
    <xf numFmtId="0" fontId="12" fillId="0" borderId="17" xfId="1" applyFont="1" applyFill="1" applyBorder="1" applyAlignment="1" applyProtection="1">
      <alignment vertical="center"/>
    </xf>
    <xf numFmtId="14" fontId="2" fillId="4" borderId="9" xfId="0" applyNumberFormat="1" applyFont="1" applyFill="1" applyBorder="1" applyAlignment="1" applyProtection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49" fontId="0" fillId="3" borderId="24" xfId="0" applyNumberFormat="1" applyFill="1" applyBorder="1" applyAlignment="1">
      <alignment vertical="center"/>
    </xf>
    <xf numFmtId="49" fontId="0" fillId="3" borderId="15" xfId="0" applyNumberFormat="1" applyFill="1" applyBorder="1" applyAlignment="1">
      <alignment horizontal="left" vertical="center"/>
    </xf>
    <xf numFmtId="49" fontId="0" fillId="3" borderId="0" xfId="0" applyNumberFormat="1" applyFill="1" applyAlignment="1">
      <alignment vertical="center"/>
    </xf>
    <xf numFmtId="49" fontId="0" fillId="3" borderId="0" xfId="0" applyNumberFormat="1" applyFill="1" applyBorder="1" applyAlignment="1">
      <alignment vertical="center"/>
    </xf>
    <xf numFmtId="49" fontId="2" fillId="3" borderId="15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vertical="center"/>
    </xf>
    <xf numFmtId="0" fontId="14" fillId="7" borderId="15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0" fillId="0" borderId="26" xfId="0" applyBorder="1"/>
    <xf numFmtId="0" fontId="11" fillId="7" borderId="27" xfId="0" applyFont="1" applyFill="1" applyBorder="1"/>
    <xf numFmtId="0" fontId="0" fillId="0" borderId="15" xfId="0" applyBorder="1"/>
    <xf numFmtId="0" fontId="8" fillId="0" borderId="15" xfId="0" applyFont="1" applyBorder="1" applyAlignment="1">
      <alignment horizontal="center" vertical="center"/>
    </xf>
    <xf numFmtId="0" fontId="0" fillId="0" borderId="0" xfId="0" applyBorder="1"/>
    <xf numFmtId="0" fontId="2" fillId="0" borderId="15" xfId="0" applyFont="1" applyFill="1" applyBorder="1"/>
    <xf numFmtId="0" fontId="8" fillId="3" borderId="15" xfId="0" applyFont="1" applyFill="1" applyBorder="1" applyAlignment="1">
      <alignment horizontal="center" vertical="center"/>
    </xf>
    <xf numFmtId="0" fontId="16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7" fillId="0" borderId="0" xfId="1"/>
    <xf numFmtId="0" fontId="2" fillId="0" borderId="0" xfId="0" applyFont="1" applyFill="1" applyBorder="1" applyAlignment="1" applyProtection="1">
      <alignment horizontal="center" vertical="center"/>
    </xf>
    <xf numFmtId="0" fontId="2" fillId="0" borderId="15" xfId="0" applyFont="1" applyBorder="1"/>
    <xf numFmtId="0" fontId="2" fillId="0" borderId="0" xfId="0" applyFont="1" applyAlignment="1">
      <alignment wrapText="1"/>
    </xf>
    <xf numFmtId="0" fontId="2" fillId="0" borderId="0" xfId="0" applyFont="1" applyFill="1" applyBorder="1" applyAlignment="1" applyProtection="1">
      <alignment horizontal="center" vertical="center"/>
    </xf>
    <xf numFmtId="49" fontId="10" fillId="0" borderId="0" xfId="0" applyNumberFormat="1" applyFont="1" applyFill="1" applyBorder="1" applyAlignment="1" applyProtection="1">
      <alignment horizontal="center" vertical="center"/>
    </xf>
    <xf numFmtId="0" fontId="10" fillId="5" borderId="9" xfId="0" applyFont="1" applyFill="1" applyBorder="1" applyAlignment="1" applyProtection="1">
      <alignment horizontal="center" vertical="center"/>
    </xf>
    <xf numFmtId="49" fontId="10" fillId="3" borderId="0" xfId="0" applyNumberFormat="1" applyFont="1" applyFill="1" applyBorder="1" applyAlignment="1" applyProtection="1">
      <alignment horizontal="center" vertical="center"/>
    </xf>
    <xf numFmtId="0" fontId="10" fillId="5" borderId="25" xfId="0" applyFont="1" applyFill="1" applyBorder="1" applyAlignment="1" applyProtection="1">
      <alignment horizontal="center" vertical="center"/>
    </xf>
    <xf numFmtId="14" fontId="2" fillId="0" borderId="7" xfId="0" applyNumberFormat="1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2" fillId="4" borderId="9" xfId="0" applyFont="1" applyFill="1" applyBorder="1" applyAlignment="1" applyProtection="1">
      <alignment horizontal="center" vertical="center"/>
    </xf>
    <xf numFmtId="0" fontId="2" fillId="4" borderId="25" xfId="0" applyFont="1" applyFill="1" applyBorder="1" applyAlignment="1" applyProtection="1">
      <alignment horizontal="center" vertical="center"/>
    </xf>
    <xf numFmtId="0" fontId="2" fillId="4" borderId="9" xfId="0" applyFont="1" applyFill="1" applyBorder="1" applyAlignment="1" applyProtection="1">
      <alignment vertical="center"/>
    </xf>
    <xf numFmtId="0" fontId="13" fillId="0" borderId="0" xfId="1" applyFont="1" applyFill="1" applyBorder="1" applyAlignment="1" applyProtection="1">
      <alignment horizontal="left" vertical="center" shrinkToFit="1"/>
    </xf>
    <xf numFmtId="0" fontId="2" fillId="0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Fill="1" applyBorder="1" applyAlignment="1" applyProtection="1">
      <alignment vertical="center"/>
    </xf>
    <xf numFmtId="0" fontId="8" fillId="0" borderId="0" xfId="0" applyFont="1" applyBorder="1" applyAlignment="1">
      <alignment horizontal="center" vertical="center"/>
    </xf>
    <xf numFmtId="0" fontId="2" fillId="0" borderId="0" xfId="0" applyFont="1" applyBorder="1"/>
    <xf numFmtId="0" fontId="10" fillId="5" borderId="9" xfId="0" applyFont="1" applyFill="1" applyBorder="1" applyAlignment="1" applyProtection="1">
      <alignment vertical="center"/>
    </xf>
    <xf numFmtId="0" fontId="2" fillId="4" borderId="13" xfId="0" applyFont="1" applyFill="1" applyBorder="1" applyAlignment="1" applyProtection="1">
      <alignment horizontal="left" vertical="center" wrapText="1"/>
      <protection locked="0"/>
    </xf>
    <xf numFmtId="0" fontId="2" fillId="4" borderId="0" xfId="0" applyFont="1" applyFill="1" applyBorder="1" applyAlignment="1" applyProtection="1">
      <alignment horizontal="left" vertical="center" wrapText="1"/>
      <protection locked="0"/>
    </xf>
    <xf numFmtId="0" fontId="2" fillId="4" borderId="14" xfId="0" applyFont="1" applyFill="1" applyBorder="1" applyAlignment="1" applyProtection="1">
      <alignment horizontal="left" vertical="center" wrapText="1"/>
      <protection locked="0"/>
    </xf>
    <xf numFmtId="0" fontId="2" fillId="4" borderId="13" xfId="2" applyFont="1" applyFill="1" applyBorder="1" applyAlignment="1" applyProtection="1">
      <alignment horizontal="center" vertical="top" wrapText="1"/>
      <protection locked="0"/>
    </xf>
    <xf numFmtId="0" fontId="2" fillId="4" borderId="0" xfId="2" applyFont="1" applyFill="1" applyBorder="1" applyAlignment="1" applyProtection="1">
      <alignment horizontal="center" vertical="top" wrapText="1"/>
      <protection locked="0"/>
    </xf>
    <xf numFmtId="0" fontId="2" fillId="4" borderId="14" xfId="2" applyFont="1" applyFill="1" applyBorder="1" applyAlignment="1" applyProtection="1">
      <alignment horizontal="center" vertical="top" wrapText="1"/>
      <protection locked="0"/>
    </xf>
    <xf numFmtId="0" fontId="15" fillId="5" borderId="0" xfId="1" applyFont="1" applyFill="1" applyBorder="1" applyAlignment="1" applyProtection="1">
      <alignment horizontal="center" vertical="center" shrinkToFit="1"/>
      <protection locked="0"/>
    </xf>
    <xf numFmtId="0" fontId="7" fillId="4" borderId="0" xfId="1" applyFill="1" applyBorder="1" applyAlignment="1" applyProtection="1">
      <alignment horizontal="center" vertical="center" shrinkToFit="1"/>
      <protection locked="0"/>
    </xf>
    <xf numFmtId="0" fontId="2" fillId="4" borderId="13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 applyProtection="1">
      <alignment horizontal="center" vertical="center"/>
      <protection locked="0"/>
    </xf>
    <xf numFmtId="0" fontId="2" fillId="4" borderId="14" xfId="0" applyFont="1" applyFill="1" applyBorder="1" applyAlignment="1" applyProtection="1">
      <alignment horizontal="center" vertical="center"/>
      <protection locked="0"/>
    </xf>
    <xf numFmtId="0" fontId="12" fillId="4" borderId="24" xfId="0" applyNumberFormat="1" applyFont="1" applyFill="1" applyBorder="1" applyAlignment="1" applyProtection="1">
      <alignment horizontal="center" vertical="center" wrapText="1"/>
      <protection locked="0"/>
    </xf>
    <xf numFmtId="0" fontId="12" fillId="4" borderId="25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9" xfId="0" applyNumberFormat="1" applyFont="1" applyFill="1" applyBorder="1" applyAlignment="1" applyProtection="1">
      <alignment horizontal="center" vertical="center"/>
      <protection locked="0"/>
    </xf>
    <xf numFmtId="0" fontId="2" fillId="4" borderId="25" xfId="0" applyNumberFormat="1" applyFont="1" applyFill="1" applyBorder="1" applyAlignment="1" applyProtection="1">
      <alignment horizontal="center" vertical="center"/>
      <protection locked="0"/>
    </xf>
    <xf numFmtId="0" fontId="2" fillId="4" borderId="13" xfId="2" applyFont="1" applyFill="1" applyBorder="1" applyAlignment="1" applyProtection="1">
      <alignment horizontal="left" vertical="center" wrapText="1"/>
      <protection locked="0"/>
    </xf>
    <xf numFmtId="0" fontId="2" fillId="4" borderId="0" xfId="2" applyFont="1" applyFill="1" applyBorder="1" applyAlignment="1" applyProtection="1">
      <alignment horizontal="left" vertical="center" wrapText="1"/>
      <protection locked="0"/>
    </xf>
    <xf numFmtId="0" fontId="2" fillId="4" borderId="14" xfId="2" applyFont="1" applyFill="1" applyBorder="1" applyAlignment="1" applyProtection="1">
      <alignment horizontal="left" vertical="center" wrapText="1"/>
      <protection locked="0"/>
    </xf>
    <xf numFmtId="0" fontId="2" fillId="4" borderId="11" xfId="2" applyFont="1" applyFill="1" applyBorder="1" applyAlignment="1" applyProtection="1">
      <alignment horizontal="center" vertical="top" wrapText="1"/>
      <protection locked="0"/>
    </xf>
    <xf numFmtId="0" fontId="2" fillId="4" borderId="10" xfId="2" applyFont="1" applyFill="1" applyBorder="1" applyAlignment="1" applyProtection="1">
      <alignment horizontal="center" vertical="top" wrapText="1"/>
      <protection locked="0"/>
    </xf>
    <xf numFmtId="0" fontId="2" fillId="4" borderId="12" xfId="2" applyFont="1" applyFill="1" applyBorder="1" applyAlignment="1" applyProtection="1">
      <alignment horizontal="center" vertical="top" wrapText="1"/>
      <protection locked="0"/>
    </xf>
    <xf numFmtId="2" fontId="2" fillId="4" borderId="0" xfId="0" applyNumberFormat="1" applyFont="1" applyFill="1" applyBorder="1" applyAlignment="1" applyProtection="1">
      <alignment horizontal="left" vertical="center"/>
    </xf>
    <xf numFmtId="49" fontId="2" fillId="0" borderId="0" xfId="0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Border="1" applyAlignment="1" applyProtection="1">
      <alignment horizontal="center" vertical="center"/>
    </xf>
    <xf numFmtId="0" fontId="10" fillId="5" borderId="0" xfId="0" applyNumberFormat="1" applyFont="1" applyFill="1" applyBorder="1" applyAlignment="1" applyProtection="1">
      <alignment horizontal="left" vertical="center"/>
      <protection locked="0"/>
    </xf>
    <xf numFmtId="0" fontId="12" fillId="4" borderId="0" xfId="0" applyNumberFormat="1" applyFont="1" applyFill="1" applyBorder="1" applyAlignment="1" applyProtection="1">
      <alignment horizontal="left" vertical="center"/>
      <protection locked="0"/>
    </xf>
    <xf numFmtId="0" fontId="15" fillId="5" borderId="7" xfId="1" applyFont="1" applyFill="1" applyBorder="1" applyAlignment="1" applyProtection="1">
      <alignment horizontal="center" vertical="center" shrinkToFit="1"/>
      <protection locked="0"/>
    </xf>
    <xf numFmtId="0" fontId="7" fillId="4" borderId="7" xfId="1" applyFill="1" applyBorder="1" applyAlignment="1" applyProtection="1">
      <alignment horizontal="center" vertical="center" shrinkToFit="1"/>
      <protection locked="0"/>
    </xf>
    <xf numFmtId="0" fontId="2" fillId="5" borderId="0" xfId="0" applyNumberFormat="1" applyFont="1" applyFill="1" applyBorder="1" applyAlignment="1" applyProtection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3" fillId="0" borderId="2" xfId="0" applyFont="1" applyFill="1" applyBorder="1" applyAlignment="1" applyProtection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9" fontId="2" fillId="4" borderId="9" xfId="0" applyNumberFormat="1" applyFont="1" applyFill="1" applyBorder="1" applyAlignment="1" applyProtection="1">
      <alignment horizontal="center" vertical="center"/>
    </xf>
    <xf numFmtId="49" fontId="2" fillId="0" borderId="0" xfId="0" applyNumberFormat="1" applyFont="1" applyFill="1" applyBorder="1" applyAlignment="1" applyProtection="1">
      <alignment horizontal="center" vertical="center"/>
    </xf>
    <xf numFmtId="0" fontId="2" fillId="4" borderId="11" xfId="0" applyFont="1" applyFill="1" applyBorder="1" applyAlignment="1" applyProtection="1">
      <alignment horizontal="center" vertical="center"/>
      <protection locked="0"/>
    </xf>
    <xf numFmtId="0" fontId="2" fillId="4" borderId="10" xfId="0" applyFont="1" applyFill="1" applyBorder="1" applyAlignment="1" applyProtection="1">
      <alignment horizontal="center" vertical="center"/>
      <protection locked="0"/>
    </xf>
    <xf numFmtId="0" fontId="2" fillId="4" borderId="12" xfId="0" applyFont="1" applyFill="1" applyBorder="1" applyAlignment="1" applyProtection="1">
      <alignment horizontal="center" vertical="center"/>
      <protection locked="0"/>
    </xf>
    <xf numFmtId="0" fontId="2" fillId="6" borderId="13" xfId="0" applyFont="1" applyFill="1" applyBorder="1" applyAlignment="1" applyProtection="1">
      <alignment horizontal="center" vertical="center"/>
      <protection locked="0" hidden="1"/>
    </xf>
    <xf numFmtId="0" fontId="2" fillId="6" borderId="0" xfId="0" applyFont="1" applyFill="1" applyBorder="1" applyAlignment="1" applyProtection="1">
      <alignment horizontal="center" vertical="center"/>
      <protection locked="0" hidden="1"/>
    </xf>
    <xf numFmtId="0" fontId="2" fillId="6" borderId="14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horizontal="center" vertical="center"/>
    </xf>
    <xf numFmtId="0" fontId="2" fillId="4" borderId="24" xfId="0" applyNumberFormat="1" applyFont="1" applyFill="1" applyBorder="1" applyAlignment="1" applyProtection="1">
      <alignment horizontal="center" vertical="center" wrapText="1"/>
      <protection locked="0"/>
    </xf>
    <xf numFmtId="0" fontId="0" fillId="4" borderId="25" xfId="0" applyNumberFormat="1" applyFill="1" applyBorder="1" applyAlignment="1" applyProtection="1">
      <alignment horizontal="center" vertical="center" wrapText="1"/>
      <protection locked="0"/>
    </xf>
    <xf numFmtId="0" fontId="2" fillId="4" borderId="13" xfId="2" applyFont="1" applyFill="1" applyBorder="1" applyAlignment="1" applyProtection="1">
      <alignment horizontal="left" vertical="center" wrapText="1" shrinkToFit="1"/>
      <protection locked="0"/>
    </xf>
    <xf numFmtId="0" fontId="2" fillId="4" borderId="0" xfId="2" applyFont="1" applyFill="1" applyBorder="1" applyAlignment="1" applyProtection="1">
      <alignment horizontal="left" vertical="center" wrapText="1" shrinkToFit="1"/>
      <protection locked="0"/>
    </xf>
    <xf numFmtId="0" fontId="2" fillId="4" borderId="14" xfId="2" applyFont="1" applyFill="1" applyBorder="1" applyAlignment="1" applyProtection="1">
      <alignment horizontal="left" vertical="center" wrapText="1" shrinkToFit="1"/>
      <protection locked="0"/>
    </xf>
    <xf numFmtId="0" fontId="2" fillId="4" borderId="0" xfId="2" applyFont="1" applyFill="1" applyBorder="1" applyAlignment="1" applyProtection="1">
      <alignment horizontal="left" vertical="center" shrinkToFit="1"/>
      <protection locked="0"/>
    </xf>
    <xf numFmtId="0" fontId="2" fillId="4" borderId="14" xfId="2" applyFont="1" applyFill="1" applyBorder="1" applyAlignment="1" applyProtection="1">
      <alignment horizontal="left" vertical="center" shrinkToFit="1"/>
      <protection locked="0"/>
    </xf>
    <xf numFmtId="0" fontId="2" fillId="4" borderId="19" xfId="2" applyFont="1" applyFill="1" applyBorder="1" applyAlignment="1" applyProtection="1">
      <alignment horizontal="center" vertical="top" wrapText="1"/>
      <protection locked="0"/>
    </xf>
    <xf numFmtId="0" fontId="2" fillId="4" borderId="20" xfId="2" applyFont="1" applyFill="1" applyBorder="1" applyAlignment="1" applyProtection="1">
      <alignment horizontal="center" vertical="top" wrapText="1"/>
      <protection locked="0"/>
    </xf>
    <xf numFmtId="0" fontId="2" fillId="4" borderId="21" xfId="2" applyFont="1" applyFill="1" applyBorder="1" applyAlignment="1" applyProtection="1">
      <alignment horizontal="center" vertical="top" wrapText="1"/>
      <protection locked="0"/>
    </xf>
    <xf numFmtId="0" fontId="2" fillId="4" borderId="13" xfId="0" applyFont="1" applyFill="1" applyBorder="1" applyAlignment="1" applyProtection="1">
      <alignment horizontal="center" vertical="center" wrapText="1"/>
      <protection locked="0"/>
    </xf>
    <xf numFmtId="0" fontId="2" fillId="4" borderId="0" xfId="0" applyFont="1" applyFill="1" applyBorder="1" applyAlignment="1" applyProtection="1">
      <alignment horizontal="center" vertical="center" wrapText="1"/>
      <protection locked="0"/>
    </xf>
    <xf numFmtId="0" fontId="2" fillId="4" borderId="14" xfId="0" applyFont="1" applyFill="1" applyBorder="1" applyAlignment="1" applyProtection="1">
      <alignment horizontal="center" vertical="center" wrapText="1"/>
      <protection locked="0"/>
    </xf>
    <xf numFmtId="14" fontId="5" fillId="0" borderId="10" xfId="0" applyNumberFormat="1" applyFont="1" applyFill="1" applyBorder="1" applyAlignment="1" applyProtection="1">
      <alignment horizontal="right" vertical="center"/>
    </xf>
    <xf numFmtId="49" fontId="10" fillId="5" borderId="9" xfId="0" applyNumberFormat="1" applyFont="1" applyFill="1" applyBorder="1" applyAlignment="1" applyProtection="1">
      <alignment horizontal="center" vertical="center"/>
    </xf>
    <xf numFmtId="49" fontId="12" fillId="4" borderId="9" xfId="0" applyNumberFormat="1" applyFont="1" applyFill="1" applyBorder="1" applyAlignment="1" applyProtection="1">
      <alignment horizontal="center" vertical="center"/>
    </xf>
    <xf numFmtId="49" fontId="2" fillId="5" borderId="9" xfId="0" applyNumberFormat="1" applyFont="1" applyFill="1" applyBorder="1" applyAlignment="1" applyProtection="1">
      <alignment horizontal="center" vertical="center"/>
    </xf>
    <xf numFmtId="0" fontId="2" fillId="5" borderId="9" xfId="0" applyFont="1" applyFill="1" applyBorder="1" applyAlignment="1" applyProtection="1">
      <alignment horizontal="center" vertical="center"/>
    </xf>
    <xf numFmtId="49" fontId="2" fillId="0" borderId="7" xfId="0" applyNumberFormat="1" applyFont="1" applyFill="1" applyBorder="1" applyAlignment="1" applyProtection="1">
      <alignment horizontal="center" vertical="center"/>
    </xf>
    <xf numFmtId="49" fontId="2" fillId="0" borderId="7" xfId="0" applyNumberFormat="1" applyFont="1" applyFill="1" applyBorder="1" applyAlignment="1" applyProtection="1">
      <alignment vertical="center"/>
    </xf>
    <xf numFmtId="0" fontId="10" fillId="5" borderId="24" xfId="0" applyNumberFormat="1" applyFont="1" applyFill="1" applyBorder="1" applyAlignment="1" applyProtection="1">
      <alignment horizontal="center" vertical="center"/>
      <protection locked="0"/>
    </xf>
    <xf numFmtId="0" fontId="12" fillId="4" borderId="25" xfId="0" applyNumberFormat="1" applyFont="1" applyFill="1" applyBorder="1" applyAlignment="1" applyProtection="1">
      <alignment horizontal="center" vertical="center"/>
      <protection locked="0"/>
    </xf>
    <xf numFmtId="0" fontId="10" fillId="5" borderId="9" xfId="0" applyNumberFormat="1" applyFont="1" applyFill="1" applyBorder="1" applyAlignment="1" applyProtection="1">
      <alignment horizontal="center" vertical="center"/>
      <protection locked="0"/>
    </xf>
    <xf numFmtId="0" fontId="12" fillId="4" borderId="9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 vertical="center" wrapText="1"/>
    </xf>
    <xf numFmtId="49" fontId="2" fillId="0" borderId="0" xfId="0" applyNumberFormat="1" applyFont="1" applyFill="1" applyBorder="1" applyAlignment="1" applyProtection="1">
      <alignment vertical="center"/>
    </xf>
    <xf numFmtId="49" fontId="2" fillId="8" borderId="10" xfId="0" applyNumberFormat="1" applyFont="1" applyFill="1" applyBorder="1" applyAlignment="1" applyProtection="1">
      <alignment horizontal="center" vertical="center"/>
    </xf>
    <xf numFmtId="49" fontId="2" fillId="0" borderId="10" xfId="0" applyNumberFormat="1" applyFont="1" applyFill="1" applyBorder="1" applyAlignment="1" applyProtection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31"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3" dropStyle="combo" dx="16" fmlaRange="'Folha de apoio'!$A$19:$A$21" noThreeD="1" sel="3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82</xdr:row>
          <xdr:rowOff>104775</xdr:rowOff>
        </xdr:from>
        <xdr:to>
          <xdr:col>6</xdr:col>
          <xdr:colOff>200025</xdr:colOff>
          <xdr:row>87</xdr:row>
          <xdr:rowOff>76200</xdr:rowOff>
        </xdr:to>
        <xdr:sp macro="" textlink="">
          <xdr:nvSpPr>
            <xdr:cNvPr id="1061" name="SendButton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790015</xdr:colOff>
          <xdr:row>72</xdr:row>
          <xdr:rowOff>136711</xdr:rowOff>
        </xdr:from>
        <xdr:to>
          <xdr:col>6</xdr:col>
          <xdr:colOff>197224</xdr:colOff>
          <xdr:row>82</xdr:row>
          <xdr:rowOff>10644</xdr:rowOff>
        </xdr:to>
        <xdr:grpSp>
          <xdr:nvGrpSpPr>
            <xdr:cNvPr id="2" name="Group 1"/>
            <xdr:cNvGrpSpPr/>
          </xdr:nvGrpSpPr>
          <xdr:grpSpPr>
            <a:xfrm>
              <a:off x="2218765" y="11671486"/>
              <a:ext cx="2598084" cy="1502708"/>
              <a:chOff x="1966634" y="9840878"/>
              <a:chExt cx="2278717" cy="1453961"/>
            </a:xfrm>
          </xdr:grpSpPr>
          <xdr:sp macro="" textlink="">
            <xdr:nvSpPr>
              <xdr:cNvPr id="1163" name="Label1" hidden="1">
                <a:extLst>
                  <a:ext uri="{63B3BB69-23CF-44E3-9099-C40C66FF867C}">
                    <a14:compatExt spid="_x0000_s1163"/>
                  </a:ext>
                </a:extLst>
              </xdr:cNvPr>
              <xdr:cNvSpPr/>
            </xdr:nvSpPr>
            <xdr:spPr>
              <a:xfrm>
                <a:off x="1966634" y="9840878"/>
                <a:ext cx="2278717" cy="1453961"/>
              </a:xfrm>
              <a:prstGeom prst="rect">
                <a:avLst/>
              </a:prstGeom>
            </xdr:spPr>
          </xdr:sp>
          <xdr:sp macro="" textlink="">
            <xdr:nvSpPr>
              <xdr:cNvPr id="1143" name="cb_bud" hidden="1">
                <a:extLst>
                  <a:ext uri="{63B3BB69-23CF-44E3-9099-C40C66FF867C}">
                    <a14:compatExt spid="_x0000_s1143"/>
                  </a:ext>
                </a:extLst>
              </xdr:cNvPr>
              <xdr:cNvSpPr/>
            </xdr:nvSpPr>
            <xdr:spPr>
              <a:xfrm>
                <a:off x="2052357" y="10206318"/>
                <a:ext cx="1023097" cy="237564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P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Budget</a:t>
                </a:r>
              </a:p>
            </xdr:txBody>
          </xdr:sp>
          <xdr:sp macro="" textlink="">
            <xdr:nvSpPr>
              <xdr:cNvPr id="1145" name="cb_pm" hidden="1">
                <a:extLst>
                  <a:ext uri="{63B3BB69-23CF-44E3-9099-C40C66FF867C}">
                    <a14:compatExt spid="_x0000_s1145"/>
                  </a:ext>
                </a:extLst>
              </xdr:cNvPr>
              <xdr:cNvSpPr/>
            </xdr:nvSpPr>
            <xdr:spPr>
              <a:xfrm>
                <a:off x="2053635" y="10627099"/>
                <a:ext cx="1022050" cy="2762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P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Parque Máquinas</a:t>
                </a:r>
              </a:p>
            </xdr:txBody>
          </xdr:sp>
          <xdr:sp macro="" textlink="">
            <xdr:nvSpPr>
              <xdr:cNvPr id="1146" name="cb_cad" hidden="1">
                <a:extLst>
                  <a:ext uri="{63B3BB69-23CF-44E3-9099-C40C66FF867C}">
                    <a14:compatExt spid="_x0000_s1146"/>
                  </a:ext>
                </a:extLst>
              </xdr:cNvPr>
              <xdr:cNvSpPr/>
            </xdr:nvSpPr>
            <xdr:spPr>
              <a:xfrm>
                <a:off x="3113554" y="10215843"/>
                <a:ext cx="1007970" cy="247089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P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CAD</a:t>
                </a:r>
              </a:p>
            </xdr:txBody>
          </xdr:sp>
          <xdr:sp macro="" textlink="">
            <xdr:nvSpPr>
              <xdr:cNvPr id="1147" name="cb_man" hidden="1">
                <a:extLst>
                  <a:ext uri="{63B3BB69-23CF-44E3-9099-C40C66FF867C}">
                    <a14:compatExt spid="_x0000_s1147"/>
                  </a:ext>
                </a:extLst>
              </xdr:cNvPr>
              <xdr:cNvSpPr/>
            </xdr:nvSpPr>
            <xdr:spPr>
              <a:xfrm>
                <a:off x="3113554" y="10439400"/>
                <a:ext cx="1007970" cy="22804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P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Manutenção</a:t>
                </a:r>
              </a:p>
            </xdr:txBody>
          </xdr:sp>
          <xdr:sp macro="" textlink="">
            <xdr:nvSpPr>
              <xdr:cNvPr id="1148" name="cb_pl" hidden="1">
                <a:extLst>
                  <a:ext uri="{63B3BB69-23CF-44E3-9099-C40C66FF867C}">
                    <a14:compatExt spid="_x0000_s1148"/>
                  </a:ext>
                </a:extLst>
              </xdr:cNvPr>
              <xdr:cNvSpPr/>
            </xdr:nvSpPr>
            <xdr:spPr>
              <a:xfrm>
                <a:off x="3113554" y="10657916"/>
                <a:ext cx="1007970" cy="233082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P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Project Leaders</a:t>
                </a:r>
              </a:p>
            </xdr:txBody>
          </xdr:sp>
          <xdr:sp macro="" textlink="">
            <xdr:nvSpPr>
              <xdr:cNvPr id="1150" name="cb_qua" hidden="1">
                <a:extLst>
                  <a:ext uri="{63B3BB69-23CF-44E3-9099-C40C66FF867C}">
                    <a14:compatExt spid="_x0000_s1150"/>
                  </a:ext>
                </a:extLst>
              </xdr:cNvPr>
              <xdr:cNvSpPr/>
            </xdr:nvSpPr>
            <xdr:spPr>
              <a:xfrm>
                <a:off x="2053637" y="10863544"/>
                <a:ext cx="1022050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P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Qualidade</a:t>
                </a:r>
              </a:p>
            </xdr:txBody>
          </xdr:sp>
          <xdr:sp macro="" textlink="">
            <xdr:nvSpPr>
              <xdr:cNvPr id="1151" name="cb_log" hidden="1">
                <a:extLst>
                  <a:ext uri="{63B3BB69-23CF-44E3-9099-C40C66FF867C}">
                    <a14:compatExt spid="_x0000_s1151"/>
                  </a:ext>
                </a:extLst>
              </xdr:cNvPr>
              <xdr:cNvSpPr/>
            </xdr:nvSpPr>
            <xdr:spPr>
              <a:xfrm>
                <a:off x="2053635" y="10430436"/>
                <a:ext cx="1022050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P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Logística</a:t>
                </a:r>
              </a:p>
            </xdr:txBody>
          </xdr:sp>
          <xdr:sp macro="" textlink="">
            <xdr:nvSpPr>
              <xdr:cNvPr id="1153" name="cb_to" hidden="1">
                <a:extLst>
                  <a:ext uri="{63B3BB69-23CF-44E3-9099-C40C66FF867C}">
                    <a14:compatExt spid="_x0000_s1153"/>
                  </a:ext>
                </a:extLst>
              </xdr:cNvPr>
              <xdr:cNvSpPr/>
            </xdr:nvSpPr>
            <xdr:spPr>
              <a:xfrm>
                <a:off x="3113554" y="10890997"/>
                <a:ext cx="1007970" cy="21851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P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Try-out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1209675</xdr:colOff>
          <xdr:row>16</xdr:row>
          <xdr:rowOff>38100</xdr:rowOff>
        </xdr:from>
        <xdr:to>
          <xdr:col>3</xdr:col>
          <xdr:colOff>19050</xdr:colOff>
          <xdr:row>17</xdr:row>
          <xdr:rowOff>95250</xdr:rowOff>
        </xdr:to>
        <xdr:sp macro="" textlink="">
          <xdr:nvSpPr>
            <xdr:cNvPr id="1173" name="KVS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KVS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809625</xdr:colOff>
          <xdr:row>16</xdr:row>
          <xdr:rowOff>38100</xdr:rowOff>
        </xdr:from>
        <xdr:to>
          <xdr:col>5</xdr:col>
          <xdr:colOff>257175</xdr:colOff>
          <xdr:row>17</xdr:row>
          <xdr:rowOff>85725</xdr:rowOff>
        </xdr:to>
        <xdr:sp macro="" textlink="">
          <xdr:nvSpPr>
            <xdr:cNvPr id="1174" name="ZWA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ZWA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16</xdr:row>
          <xdr:rowOff>28575</xdr:rowOff>
        </xdr:from>
        <xdr:to>
          <xdr:col>8</xdr:col>
          <xdr:colOff>133350</xdr:colOff>
          <xdr:row>17</xdr:row>
          <xdr:rowOff>95250</xdr:rowOff>
        </xdr:to>
        <xdr:sp macro="" textlink="">
          <xdr:nvSpPr>
            <xdr:cNvPr id="1175" name="DriveR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na Drive R (uncc)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29767</xdr:colOff>
      <xdr:row>0</xdr:row>
      <xdr:rowOff>23814</xdr:rowOff>
    </xdr:from>
    <xdr:to>
      <xdr:col>1</xdr:col>
      <xdr:colOff>1137048</xdr:colOff>
      <xdr:row>2</xdr:row>
      <xdr:rowOff>140107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61" y="23814"/>
          <a:ext cx="1107281" cy="437762"/>
        </a:xfrm>
        <a:prstGeom prst="rect">
          <a:avLst/>
        </a:prstGeom>
      </xdr:spPr>
    </xdr:pic>
    <xdr:clientData/>
  </xdr:twoCellAnchor>
  <xdr:twoCellAnchor editAs="oneCell">
    <xdr:from>
      <xdr:col>11</xdr:col>
      <xdr:colOff>25656</xdr:colOff>
      <xdr:row>0</xdr:row>
      <xdr:rowOff>25494</xdr:rowOff>
    </xdr:from>
    <xdr:to>
      <xdr:col>32</xdr:col>
      <xdr:colOff>9525</xdr:colOff>
      <xdr:row>2</xdr:row>
      <xdr:rowOff>141787</xdr:rowOff>
    </xdr:to>
    <xdr:pic>
      <xdr:nvPicPr>
        <xdr:cNvPr id="19" name="Picture 2" hidden="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50381" y="25494"/>
          <a:ext cx="1110204" cy="440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628650</xdr:colOff>
          <xdr:row>50</xdr:row>
          <xdr:rowOff>9525</xdr:rowOff>
        </xdr:from>
        <xdr:to>
          <xdr:col>8</xdr:col>
          <xdr:colOff>828675</xdr:colOff>
          <xdr:row>51</xdr:row>
          <xdr:rowOff>0</xdr:rowOff>
        </xdr:to>
        <xdr:sp macro="" textlink="">
          <xdr:nvSpPr>
            <xdr:cNvPr id="1192" name="Abrir browser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...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628650</xdr:colOff>
          <xdr:row>53</xdr:row>
          <xdr:rowOff>9525</xdr:rowOff>
        </xdr:from>
        <xdr:to>
          <xdr:col>8</xdr:col>
          <xdr:colOff>828675</xdr:colOff>
          <xdr:row>54</xdr:row>
          <xdr:rowOff>0</xdr:rowOff>
        </xdr:to>
        <xdr:sp macro="" textlink="">
          <xdr:nvSpPr>
            <xdr:cNvPr id="1197" name="Abrir browser" hidden="1">
              <a:extLst>
                <a:ext uri="{63B3BB69-23CF-44E3-9099-C40C66FF867C}">
                  <a14:compatExt spid="_x0000_s1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...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628650</xdr:colOff>
          <xdr:row>56</xdr:row>
          <xdr:rowOff>9525</xdr:rowOff>
        </xdr:from>
        <xdr:to>
          <xdr:col>8</xdr:col>
          <xdr:colOff>828675</xdr:colOff>
          <xdr:row>57</xdr:row>
          <xdr:rowOff>0</xdr:rowOff>
        </xdr:to>
        <xdr:sp macro="" textlink="">
          <xdr:nvSpPr>
            <xdr:cNvPr id="1198" name="Abrir browser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...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628650</xdr:colOff>
          <xdr:row>59</xdr:row>
          <xdr:rowOff>9525</xdr:rowOff>
        </xdr:from>
        <xdr:to>
          <xdr:col>8</xdr:col>
          <xdr:colOff>828675</xdr:colOff>
          <xdr:row>60</xdr:row>
          <xdr:rowOff>0</xdr:rowOff>
        </xdr:to>
        <xdr:sp macro="" textlink="">
          <xdr:nvSpPr>
            <xdr:cNvPr id="1199" name="Abrir browser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...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628650</xdr:colOff>
          <xdr:row>62</xdr:row>
          <xdr:rowOff>9525</xdr:rowOff>
        </xdr:from>
        <xdr:to>
          <xdr:col>8</xdr:col>
          <xdr:colOff>828675</xdr:colOff>
          <xdr:row>63</xdr:row>
          <xdr:rowOff>0</xdr:rowOff>
        </xdr:to>
        <xdr:sp macro="" textlink="">
          <xdr:nvSpPr>
            <xdr:cNvPr id="1200" name="Abrir browser" hidden="1">
              <a:extLst>
                <a:ext uri="{63B3BB69-23CF-44E3-9099-C40C66FF867C}">
                  <a14:compatExt spid="_x0000_s1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...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21</xdr:col>
      <xdr:colOff>25656</xdr:colOff>
      <xdr:row>0</xdr:row>
      <xdr:rowOff>25494</xdr:rowOff>
    </xdr:from>
    <xdr:ext cx="1104900" cy="447597"/>
    <xdr:pic>
      <xdr:nvPicPr>
        <xdr:cNvPr id="34" name="Picture 3" hidden="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4352" y="25494"/>
          <a:ext cx="1104900" cy="44759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88</xdr:row>
          <xdr:rowOff>28575</xdr:rowOff>
        </xdr:from>
        <xdr:to>
          <xdr:col>6</xdr:col>
          <xdr:colOff>190500</xdr:colOff>
          <xdr:row>90</xdr:row>
          <xdr:rowOff>104775</xdr:rowOff>
        </xdr:to>
        <xdr:sp macro="" textlink="">
          <xdr:nvSpPr>
            <xdr:cNvPr id="1202" name="ddPages" hidden="1">
              <a:extLst>
                <a:ext uri="{63B3BB69-23CF-44E3-9099-C40C66FF867C}">
                  <a14:compatExt spid="_x0000_s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Mario.Santos@Volkswagen.pt;Oscar.Pires@Volkswagen.p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E143"/>
  <sheetViews>
    <sheetView view="pageBreakPreview" zoomScaleNormal="85" zoomScaleSheetLayoutView="100" workbookViewId="0">
      <selection activeCell="B55" sqref="B55:I55"/>
    </sheetView>
  </sheetViews>
  <sheetFormatPr defaultColWidth="10.7109375" defaultRowHeight="12.75" x14ac:dyDescent="0.2"/>
  <cols>
    <col min="1" max="1" width="2.7109375" style="1" customWidth="1"/>
    <col min="2" max="2" width="18.7109375" style="1" customWidth="1"/>
    <col min="3" max="5" width="12.7109375" style="1" customWidth="1"/>
    <col min="6" max="7" width="9.7109375" style="1" customWidth="1"/>
    <col min="8" max="9" width="12.7109375" style="1" customWidth="1"/>
    <col min="10" max="10" width="2.7109375" style="1" customWidth="1"/>
    <col min="11" max="11" width="2.7109375" style="1" hidden="1" customWidth="1"/>
    <col min="12" max="12" width="18.7109375" style="12" hidden="1" customWidth="1"/>
    <col min="13" max="13" width="12.7109375" style="7" hidden="1" customWidth="1"/>
    <col min="14" max="15" width="12.7109375" style="1" hidden="1" customWidth="1"/>
    <col min="16" max="17" width="9.7109375" style="1" hidden="1" customWidth="1"/>
    <col min="18" max="19" width="12.7109375" style="1" hidden="1" customWidth="1"/>
    <col min="20" max="21" width="2.7109375" style="1" hidden="1" customWidth="1"/>
    <col min="22" max="22" width="18.7109375" style="1" hidden="1" customWidth="1"/>
    <col min="23" max="25" width="12.7109375" style="1" hidden="1" customWidth="1"/>
    <col min="26" max="27" width="9.7109375" style="1" hidden="1" customWidth="1"/>
    <col min="28" max="29" width="12.7109375" style="1" hidden="1" customWidth="1"/>
    <col min="30" max="30" width="2.7109375" style="1" hidden="1" customWidth="1"/>
    <col min="31" max="31" width="5.7109375" style="1" customWidth="1"/>
    <col min="32" max="16384" width="10.7109375" style="1"/>
  </cols>
  <sheetData>
    <row r="1" spans="1:31" ht="12.75" customHeight="1" x14ac:dyDescent="0.2">
      <c r="A1" s="116"/>
      <c r="B1" s="117"/>
      <c r="C1" s="122" t="s">
        <v>24</v>
      </c>
      <c r="D1" s="122"/>
      <c r="E1" s="122"/>
      <c r="F1" s="122"/>
      <c r="G1" s="122"/>
      <c r="H1" s="125" t="s">
        <v>100</v>
      </c>
      <c r="I1" s="126"/>
      <c r="J1" s="127"/>
      <c r="K1" s="116"/>
      <c r="L1" s="117"/>
      <c r="M1" s="122" t="s">
        <v>24</v>
      </c>
      <c r="N1" s="122"/>
      <c r="O1" s="122"/>
      <c r="P1" s="122"/>
      <c r="Q1" s="122"/>
      <c r="R1" s="125" t="str">
        <f>H1</f>
        <v>Revisão 15</v>
      </c>
      <c r="S1" s="126"/>
      <c r="T1" s="127"/>
      <c r="U1" s="116"/>
      <c r="V1" s="117"/>
      <c r="W1" s="122" t="s">
        <v>24</v>
      </c>
      <c r="X1" s="122"/>
      <c r="Y1" s="122"/>
      <c r="Z1" s="122"/>
      <c r="AA1" s="122"/>
      <c r="AB1" s="171" t="s">
        <v>100</v>
      </c>
      <c r="AC1" s="171"/>
      <c r="AD1" s="172"/>
      <c r="AE1" s="3"/>
    </row>
    <row r="2" spans="1:31" ht="12.75" customHeight="1" x14ac:dyDescent="0.2">
      <c r="A2" s="118"/>
      <c r="B2" s="119"/>
      <c r="C2" s="123"/>
      <c r="D2" s="123"/>
      <c r="E2" s="123"/>
      <c r="F2" s="123"/>
      <c r="G2" s="123"/>
      <c r="H2" s="128">
        <v>42737</v>
      </c>
      <c r="I2" s="129"/>
      <c r="J2" s="130"/>
      <c r="K2" s="118"/>
      <c r="L2" s="119"/>
      <c r="M2" s="123"/>
      <c r="N2" s="123"/>
      <c r="O2" s="123"/>
      <c r="P2" s="123"/>
      <c r="Q2" s="123"/>
      <c r="R2" s="128">
        <f>H2</f>
        <v>42737</v>
      </c>
      <c r="S2" s="129"/>
      <c r="T2" s="130"/>
      <c r="U2" s="118"/>
      <c r="V2" s="119"/>
      <c r="W2" s="123"/>
      <c r="X2" s="123"/>
      <c r="Y2" s="123"/>
      <c r="Z2" s="123"/>
      <c r="AA2" s="123"/>
      <c r="AB2" s="173">
        <f>H2</f>
        <v>42737</v>
      </c>
      <c r="AC2" s="173"/>
      <c r="AD2" s="174"/>
      <c r="AE2" s="3"/>
    </row>
    <row r="3" spans="1:31" ht="12.75" customHeight="1" thickBot="1" x14ac:dyDescent="0.25">
      <c r="A3" s="120"/>
      <c r="B3" s="121"/>
      <c r="C3" s="124"/>
      <c r="D3" s="124"/>
      <c r="E3" s="124"/>
      <c r="F3" s="124"/>
      <c r="G3" s="124"/>
      <c r="H3" s="131" t="s">
        <v>205</v>
      </c>
      <c r="I3" s="132"/>
      <c r="J3" s="133"/>
      <c r="K3" s="120"/>
      <c r="L3" s="121"/>
      <c r="M3" s="124"/>
      <c r="N3" s="124"/>
      <c r="O3" s="124"/>
      <c r="P3" s="124"/>
      <c r="Q3" s="124"/>
      <c r="R3" s="131" t="s">
        <v>193</v>
      </c>
      <c r="S3" s="132"/>
      <c r="T3" s="133"/>
      <c r="U3" s="120"/>
      <c r="V3" s="121"/>
      <c r="W3" s="124"/>
      <c r="X3" s="124"/>
      <c r="Y3" s="124"/>
      <c r="Z3" s="124"/>
      <c r="AA3" s="124"/>
      <c r="AB3" s="175" t="s">
        <v>194</v>
      </c>
      <c r="AC3" s="175"/>
      <c r="AD3" s="176"/>
      <c r="AE3" s="3"/>
    </row>
    <row r="4" spans="1:31" ht="12.75" customHeight="1" x14ac:dyDescent="0.2">
      <c r="A4" s="13"/>
      <c r="B4" s="14"/>
      <c r="C4" s="14"/>
      <c r="D4" s="14"/>
      <c r="E4" s="14"/>
      <c r="F4" s="14"/>
      <c r="G4" s="14"/>
      <c r="H4" s="14"/>
      <c r="I4" s="14"/>
      <c r="J4" s="15"/>
      <c r="K4" s="13"/>
      <c r="L4" s="8"/>
      <c r="M4" s="8"/>
      <c r="N4" s="8"/>
      <c r="O4" s="8"/>
      <c r="P4" s="8"/>
      <c r="Q4" s="8"/>
      <c r="R4" s="8"/>
      <c r="S4" s="8"/>
      <c r="T4" s="15"/>
      <c r="U4" s="13"/>
      <c r="V4" s="8"/>
      <c r="W4" s="8"/>
      <c r="X4" s="8"/>
      <c r="Y4" s="8"/>
      <c r="Z4" s="8"/>
      <c r="AA4" s="8"/>
      <c r="AB4" s="8"/>
      <c r="AC4" s="8"/>
      <c r="AD4" s="15"/>
      <c r="AE4" s="3"/>
    </row>
    <row r="5" spans="1:31" ht="12.75" customHeight="1" x14ac:dyDescent="0.2">
      <c r="A5" s="9"/>
      <c r="B5" s="68" t="s">
        <v>15</v>
      </c>
      <c r="C5" s="134" t="s">
        <v>213</v>
      </c>
      <c r="D5" s="134"/>
      <c r="E5" s="41"/>
      <c r="F5" s="135" t="s">
        <v>16</v>
      </c>
      <c r="G5" s="135"/>
      <c r="H5" s="134" t="s">
        <v>213</v>
      </c>
      <c r="I5" s="134"/>
      <c r="J5" s="11"/>
      <c r="K5" s="9"/>
      <c r="L5" s="71" t="s">
        <v>190</v>
      </c>
      <c r="M5" s="159" t="str">
        <f>C11</f>
        <v/>
      </c>
      <c r="N5" s="160"/>
      <c r="O5" s="71" t="str">
        <f>Outros</f>
        <v>MD</v>
      </c>
      <c r="P5" s="78">
        <f>F11</f>
        <v>0</v>
      </c>
      <c r="Q5" s="71" t="s">
        <v>29</v>
      </c>
      <c r="R5" s="79">
        <f>H11</f>
        <v>0</v>
      </c>
      <c r="S5" s="80">
        <f>I11</f>
        <v>0</v>
      </c>
      <c r="T5" s="11"/>
      <c r="U5" s="9"/>
      <c r="V5" s="71" t="s">
        <v>190</v>
      </c>
      <c r="W5" s="159" t="str">
        <f>C11</f>
        <v/>
      </c>
      <c r="X5" s="160"/>
      <c r="Y5" s="71" t="str">
        <f>Outros</f>
        <v>MD</v>
      </c>
      <c r="Z5" s="78">
        <f>F11</f>
        <v>0</v>
      </c>
      <c r="AA5" s="71" t="s">
        <v>29</v>
      </c>
      <c r="AB5" s="79">
        <f>NC_num</f>
        <v>0</v>
      </c>
      <c r="AC5" s="80">
        <f>I11</f>
        <v>0</v>
      </c>
      <c r="AD5" s="11"/>
      <c r="AE5" s="3"/>
    </row>
    <row r="6" spans="1:31" ht="12.75" customHeight="1" x14ac:dyDescent="0.2">
      <c r="A6" s="9"/>
      <c r="B6" s="43"/>
      <c r="C6" s="10"/>
      <c r="D6" s="10"/>
      <c r="E6" s="10"/>
      <c r="F6" s="10"/>
      <c r="G6" s="10"/>
      <c r="H6" s="83" t="s">
        <v>213</v>
      </c>
      <c r="I6" s="83"/>
      <c r="J6" s="11"/>
      <c r="K6" s="9"/>
      <c r="L6" s="3"/>
      <c r="M6" s="3"/>
      <c r="N6" s="3"/>
      <c r="O6" s="3"/>
      <c r="P6" s="3"/>
      <c r="Q6" s="3"/>
      <c r="R6" s="3"/>
      <c r="S6" s="3"/>
      <c r="T6" s="11"/>
      <c r="U6" s="9"/>
      <c r="V6" s="3"/>
      <c r="W6" s="3"/>
      <c r="X6" s="3"/>
      <c r="Y6" s="3"/>
      <c r="Z6" s="3"/>
      <c r="AA6" s="3"/>
      <c r="AB6" s="3"/>
      <c r="AC6" s="3"/>
      <c r="AD6" s="11"/>
      <c r="AE6" s="3"/>
    </row>
    <row r="7" spans="1:31" ht="12.75" customHeight="1" x14ac:dyDescent="0.2">
      <c r="A7" s="9"/>
      <c r="B7" s="68" t="s">
        <v>225</v>
      </c>
      <c r="C7" s="134" t="s">
        <v>213</v>
      </c>
      <c r="D7" s="134"/>
      <c r="E7" s="10"/>
      <c r="F7" s="142" t="s">
        <v>39</v>
      </c>
      <c r="G7" s="142"/>
      <c r="H7" s="134" t="s">
        <v>213</v>
      </c>
      <c r="I7" s="134"/>
      <c r="J7" s="11"/>
      <c r="K7" s="9"/>
      <c r="L7" s="3" t="s">
        <v>26</v>
      </c>
      <c r="M7" s="3"/>
      <c r="N7" s="3"/>
      <c r="O7" s="3"/>
      <c r="P7" s="3"/>
      <c r="Q7" s="3"/>
      <c r="R7" s="3"/>
      <c r="S7" s="3"/>
      <c r="T7" s="11"/>
      <c r="U7" s="9"/>
      <c r="V7" s="3" t="s">
        <v>26</v>
      </c>
      <c r="W7" s="3"/>
      <c r="X7" s="3"/>
      <c r="Y7" s="3"/>
      <c r="Z7" s="3"/>
      <c r="AA7" s="3"/>
      <c r="AB7" s="3"/>
      <c r="AC7" s="3"/>
      <c r="AD7" s="11"/>
      <c r="AE7" s="3"/>
    </row>
    <row r="8" spans="1:31" ht="12.75" customHeight="1" x14ac:dyDescent="0.2">
      <c r="A8" s="9"/>
      <c r="B8" s="43"/>
      <c r="C8" s="20"/>
      <c r="D8" s="20"/>
      <c r="E8" s="20"/>
      <c r="F8" s="42"/>
      <c r="G8" s="42"/>
      <c r="H8" s="156"/>
      <c r="I8" s="156"/>
      <c r="J8" s="11"/>
      <c r="K8" s="9"/>
      <c r="L8" s="136"/>
      <c r="M8" s="137"/>
      <c r="N8" s="137"/>
      <c r="O8" s="137"/>
      <c r="P8" s="137"/>
      <c r="Q8" s="137"/>
      <c r="R8" s="137"/>
      <c r="S8" s="138"/>
      <c r="T8" s="11"/>
      <c r="U8" s="9"/>
      <c r="V8" s="136"/>
      <c r="W8" s="137"/>
      <c r="X8" s="137"/>
      <c r="Y8" s="137"/>
      <c r="Z8" s="137"/>
      <c r="AA8" s="137"/>
      <c r="AB8" s="137"/>
      <c r="AC8" s="138"/>
      <c r="AD8" s="11"/>
      <c r="AE8" s="3"/>
    </row>
    <row r="9" spans="1:31" ht="12.75" customHeight="1" x14ac:dyDescent="0.2">
      <c r="A9" s="2"/>
      <c r="B9" s="82" t="s">
        <v>17</v>
      </c>
      <c r="C9" s="134" t="s">
        <v>213</v>
      </c>
      <c r="D9" s="134"/>
      <c r="E9" s="41"/>
      <c r="F9" s="142" t="s">
        <v>18</v>
      </c>
      <c r="G9" s="142"/>
      <c r="H9" s="134" t="s">
        <v>213</v>
      </c>
      <c r="I9" s="134"/>
      <c r="J9" s="4"/>
      <c r="K9" s="2"/>
      <c r="L9" s="139"/>
      <c r="M9" s="140"/>
      <c r="N9" s="140"/>
      <c r="O9" s="140"/>
      <c r="P9" s="140"/>
      <c r="Q9" s="140"/>
      <c r="R9" s="140"/>
      <c r="S9" s="141"/>
      <c r="T9" s="4"/>
      <c r="U9" s="2"/>
      <c r="V9" s="95"/>
      <c r="W9" s="96"/>
      <c r="X9" s="96"/>
      <c r="Y9" s="96"/>
      <c r="Z9" s="96"/>
      <c r="AA9" s="96"/>
      <c r="AB9" s="96"/>
      <c r="AC9" s="97"/>
      <c r="AD9" s="11"/>
      <c r="AE9" s="3"/>
    </row>
    <row r="10" spans="1:31" ht="12.75" customHeight="1" x14ac:dyDescent="0.2">
      <c r="A10" s="2"/>
      <c r="B10" s="10"/>
      <c r="C10" s="10"/>
      <c r="D10" s="10"/>
      <c r="E10" s="10"/>
      <c r="F10" s="10"/>
      <c r="G10" s="10"/>
      <c r="H10" s="10"/>
      <c r="I10" s="10"/>
      <c r="J10" s="4"/>
      <c r="K10" s="38"/>
      <c r="L10" s="95"/>
      <c r="M10" s="96"/>
      <c r="N10" s="96"/>
      <c r="O10" s="96"/>
      <c r="P10" s="96"/>
      <c r="Q10" s="96"/>
      <c r="R10" s="96"/>
      <c r="S10" s="97"/>
      <c r="T10" s="37"/>
      <c r="U10" s="2"/>
      <c r="V10" s="95"/>
      <c r="W10" s="96"/>
      <c r="X10" s="96"/>
      <c r="Y10" s="96"/>
      <c r="Z10" s="96"/>
      <c r="AA10" s="96"/>
      <c r="AB10" s="96"/>
      <c r="AC10" s="97"/>
      <c r="AD10" s="11"/>
      <c r="AE10" s="3"/>
    </row>
    <row r="11" spans="1:31" ht="12.75" customHeight="1" x14ac:dyDescent="0.2">
      <c r="A11" s="2"/>
      <c r="B11" s="68" t="s">
        <v>190</v>
      </c>
      <c r="C11" s="157" t="s">
        <v>213</v>
      </c>
      <c r="D11" s="158"/>
      <c r="E11" s="72" t="s">
        <v>219</v>
      </c>
      <c r="F11" s="73"/>
      <c r="G11" s="74" t="s">
        <v>29</v>
      </c>
      <c r="H11" s="75"/>
      <c r="I11" s="86"/>
      <c r="J11" s="4"/>
      <c r="K11" s="2"/>
      <c r="L11" s="95"/>
      <c r="M11" s="96"/>
      <c r="N11" s="96"/>
      <c r="O11" s="96"/>
      <c r="P11" s="96"/>
      <c r="Q11" s="96"/>
      <c r="R11" s="96"/>
      <c r="S11" s="97"/>
      <c r="T11" s="4"/>
      <c r="U11" s="2"/>
      <c r="V11" s="95"/>
      <c r="W11" s="96"/>
      <c r="X11" s="96"/>
      <c r="Y11" s="96"/>
      <c r="Z11" s="96"/>
      <c r="AA11" s="96"/>
      <c r="AB11" s="96"/>
      <c r="AC11" s="97"/>
      <c r="AD11" s="11"/>
      <c r="AE11" s="3"/>
    </row>
    <row r="12" spans="1:31" ht="12.75" customHeight="1" thickBot="1" x14ac:dyDescent="0.25">
      <c r="A12" s="16"/>
      <c r="B12" s="17"/>
      <c r="C12" s="162"/>
      <c r="D12" s="162"/>
      <c r="E12" s="162"/>
      <c r="F12" s="162"/>
      <c r="G12" s="161"/>
      <c r="H12" s="161"/>
      <c r="I12" s="76"/>
      <c r="J12" s="18"/>
      <c r="K12" s="2"/>
      <c r="L12" s="95"/>
      <c r="M12" s="96"/>
      <c r="N12" s="96"/>
      <c r="O12" s="96"/>
      <c r="P12" s="96"/>
      <c r="Q12" s="96"/>
      <c r="R12" s="96"/>
      <c r="S12" s="97"/>
      <c r="T12" s="4"/>
      <c r="U12" s="2"/>
      <c r="V12" s="95"/>
      <c r="W12" s="96"/>
      <c r="X12" s="96"/>
      <c r="Y12" s="96"/>
      <c r="Z12" s="96"/>
      <c r="AA12" s="96"/>
      <c r="AB12" s="96"/>
      <c r="AC12" s="97"/>
      <c r="AD12" s="11"/>
      <c r="AE12" s="3"/>
    </row>
    <row r="13" spans="1:31" ht="12.75" customHeight="1" x14ac:dyDescent="0.2">
      <c r="A13" s="2"/>
      <c r="B13" s="10"/>
      <c r="C13" s="168"/>
      <c r="D13" s="168"/>
      <c r="E13" s="168"/>
      <c r="F13" s="168"/>
      <c r="G13" s="167"/>
      <c r="H13" s="167"/>
      <c r="I13" s="10"/>
      <c r="J13" s="11"/>
      <c r="K13" s="2"/>
      <c r="L13" s="102"/>
      <c r="M13" s="103"/>
      <c r="N13" s="103"/>
      <c r="O13" s="103"/>
      <c r="P13" s="103"/>
      <c r="Q13" s="103"/>
      <c r="R13" s="103"/>
      <c r="S13" s="104"/>
      <c r="T13" s="4"/>
      <c r="U13" s="2"/>
      <c r="V13" s="95"/>
      <c r="W13" s="96"/>
      <c r="X13" s="96"/>
      <c r="Y13" s="96"/>
      <c r="Z13" s="96"/>
      <c r="AA13" s="96"/>
      <c r="AB13" s="96"/>
      <c r="AC13" s="97"/>
      <c r="AD13" s="11"/>
      <c r="AE13" s="3"/>
    </row>
    <row r="14" spans="1:31" ht="12.75" customHeight="1" x14ac:dyDescent="0.2">
      <c r="A14" s="2"/>
      <c r="B14" s="44" t="s">
        <v>14</v>
      </c>
      <c r="C14" s="165" t="s">
        <v>214</v>
      </c>
      <c r="D14" s="166"/>
      <c r="E14" s="166"/>
      <c r="F14" s="164"/>
      <c r="G14" s="163" t="s">
        <v>214</v>
      </c>
      <c r="H14" s="164"/>
      <c r="I14" s="48">
        <f ca="1">TODAY()</f>
        <v>42864</v>
      </c>
      <c r="J14" s="4"/>
      <c r="K14" s="2"/>
      <c r="L14" s="145"/>
      <c r="M14" s="146"/>
      <c r="N14" s="146"/>
      <c r="O14" s="146"/>
      <c r="P14" s="146"/>
      <c r="Q14" s="146"/>
      <c r="R14" s="146"/>
      <c r="S14" s="147"/>
      <c r="T14" s="4"/>
      <c r="U14" s="2"/>
      <c r="V14" s="95"/>
      <c r="W14" s="96"/>
      <c r="X14" s="96"/>
      <c r="Y14" s="96"/>
      <c r="Z14" s="96"/>
      <c r="AA14" s="96"/>
      <c r="AB14" s="96"/>
      <c r="AC14" s="97"/>
      <c r="AD14" s="11"/>
      <c r="AE14" s="3"/>
    </row>
    <row r="15" spans="1:31" ht="12.75" customHeight="1" x14ac:dyDescent="0.2">
      <c r="A15" s="2"/>
      <c r="B15" s="3"/>
      <c r="C15" s="100" t="s">
        <v>214</v>
      </c>
      <c r="D15" s="100"/>
      <c r="E15" s="100"/>
      <c r="F15" s="101"/>
      <c r="G15" s="98" t="s">
        <v>214</v>
      </c>
      <c r="H15" s="99"/>
      <c r="I15" s="10"/>
      <c r="J15" s="4"/>
      <c r="K15" s="2"/>
      <c r="L15" s="145"/>
      <c r="M15" s="146"/>
      <c r="N15" s="146"/>
      <c r="O15" s="146"/>
      <c r="P15" s="146"/>
      <c r="Q15" s="146"/>
      <c r="R15" s="146"/>
      <c r="S15" s="147"/>
      <c r="T15" s="4"/>
      <c r="U15" s="2"/>
      <c r="V15" s="95"/>
      <c r="W15" s="96"/>
      <c r="X15" s="96"/>
      <c r="Y15" s="96"/>
      <c r="Z15" s="96"/>
      <c r="AA15" s="96"/>
      <c r="AB15" s="96"/>
      <c r="AC15" s="97"/>
      <c r="AD15" s="11"/>
      <c r="AE15" s="3"/>
    </row>
    <row r="16" spans="1:31" ht="12.75" customHeight="1" x14ac:dyDescent="0.2">
      <c r="A16" s="2"/>
      <c r="B16" s="3"/>
      <c r="C16" s="100" t="s">
        <v>214</v>
      </c>
      <c r="D16" s="100"/>
      <c r="E16" s="100"/>
      <c r="F16" s="101"/>
      <c r="G16" s="143" t="s">
        <v>214</v>
      </c>
      <c r="H16" s="144"/>
      <c r="I16" s="10"/>
      <c r="J16" s="4"/>
      <c r="K16" s="2"/>
      <c r="L16" s="145"/>
      <c r="M16" s="146"/>
      <c r="N16" s="146"/>
      <c r="O16" s="146"/>
      <c r="P16" s="146"/>
      <c r="Q16" s="146"/>
      <c r="R16" s="146"/>
      <c r="S16" s="147"/>
      <c r="T16" s="4"/>
      <c r="U16" s="2"/>
      <c r="V16" s="95"/>
      <c r="W16" s="96"/>
      <c r="X16" s="96"/>
      <c r="Y16" s="96"/>
      <c r="Z16" s="96"/>
      <c r="AA16" s="96"/>
      <c r="AB16" s="96"/>
      <c r="AC16" s="97"/>
      <c r="AD16" s="11"/>
      <c r="AE16" s="3"/>
    </row>
    <row r="17" spans="1:31" ht="12.75" customHeight="1" x14ac:dyDescent="0.2">
      <c r="A17" s="2"/>
      <c r="B17" s="3"/>
      <c r="C17" s="169"/>
      <c r="D17" s="170"/>
      <c r="E17" s="170"/>
      <c r="F17" s="170"/>
      <c r="G17" s="170"/>
      <c r="H17" s="170"/>
      <c r="I17" s="10"/>
      <c r="J17" s="4"/>
      <c r="K17" s="2"/>
      <c r="L17" s="145"/>
      <c r="M17" s="148"/>
      <c r="N17" s="148"/>
      <c r="O17" s="148"/>
      <c r="P17" s="148"/>
      <c r="Q17" s="148"/>
      <c r="R17" s="148"/>
      <c r="S17" s="149"/>
      <c r="T17" s="4"/>
      <c r="U17" s="2"/>
      <c r="V17" s="95"/>
      <c r="W17" s="96"/>
      <c r="X17" s="96"/>
      <c r="Y17" s="96"/>
      <c r="Z17" s="96"/>
      <c r="AA17" s="96"/>
      <c r="AB17" s="96"/>
      <c r="AC17" s="97"/>
      <c r="AD17" s="11"/>
      <c r="AE17" s="3"/>
    </row>
    <row r="18" spans="1:31" ht="12.75" customHeight="1" thickBot="1" x14ac:dyDescent="0.25">
      <c r="A18" s="5"/>
      <c r="B18" s="40"/>
      <c r="C18" s="161"/>
      <c r="D18" s="161"/>
      <c r="E18" s="161"/>
      <c r="F18" s="161"/>
      <c r="G18" s="161"/>
      <c r="H18" s="161"/>
      <c r="I18" s="17"/>
      <c r="J18" s="6"/>
      <c r="K18" s="2"/>
      <c r="L18" s="87"/>
      <c r="M18" s="88"/>
      <c r="N18" s="88"/>
      <c r="O18" s="88"/>
      <c r="P18" s="88"/>
      <c r="Q18" s="88"/>
      <c r="R18" s="88"/>
      <c r="S18" s="89"/>
      <c r="T18" s="4"/>
      <c r="U18" s="2"/>
      <c r="V18" s="95"/>
      <c r="W18" s="96"/>
      <c r="X18" s="96"/>
      <c r="Y18" s="96"/>
      <c r="Z18" s="96"/>
      <c r="AA18" s="96"/>
      <c r="AB18" s="96"/>
      <c r="AC18" s="97"/>
      <c r="AD18" s="11"/>
      <c r="AE18" s="3"/>
    </row>
    <row r="19" spans="1:31" ht="12.75" customHeight="1" x14ac:dyDescent="0.2">
      <c r="A19" s="2"/>
      <c r="B19" s="3"/>
      <c r="C19" s="3"/>
      <c r="D19" s="3"/>
      <c r="E19" s="3"/>
      <c r="F19" s="3"/>
      <c r="G19" s="3"/>
      <c r="H19" s="3"/>
      <c r="I19" s="3"/>
      <c r="J19" s="4"/>
      <c r="K19" s="2"/>
      <c r="L19" s="102"/>
      <c r="M19" s="103"/>
      <c r="N19" s="103"/>
      <c r="O19" s="103"/>
      <c r="P19" s="103"/>
      <c r="Q19" s="103"/>
      <c r="R19" s="103"/>
      <c r="S19" s="104"/>
      <c r="T19" s="4"/>
      <c r="U19" s="2"/>
      <c r="V19" s="95"/>
      <c r="W19" s="96"/>
      <c r="X19" s="96"/>
      <c r="Y19" s="96"/>
      <c r="Z19" s="96"/>
      <c r="AA19" s="96"/>
      <c r="AB19" s="96"/>
      <c r="AC19" s="97"/>
      <c r="AD19" s="11"/>
      <c r="AE19" s="3"/>
    </row>
    <row r="20" spans="1:31" ht="12.75" customHeight="1" x14ac:dyDescent="0.2">
      <c r="A20" s="2"/>
      <c r="B20" s="3" t="s">
        <v>26</v>
      </c>
      <c r="C20" s="3"/>
      <c r="D20" s="3"/>
      <c r="E20" s="3"/>
      <c r="F20" s="3"/>
      <c r="G20" s="3"/>
      <c r="H20" s="3"/>
      <c r="I20" s="3"/>
      <c r="J20" s="4"/>
      <c r="K20" s="2"/>
      <c r="L20" s="87"/>
      <c r="M20" s="88"/>
      <c r="N20" s="88"/>
      <c r="O20" s="88"/>
      <c r="P20" s="88"/>
      <c r="Q20" s="88"/>
      <c r="R20" s="88"/>
      <c r="S20" s="89"/>
      <c r="T20" s="4"/>
      <c r="U20" s="2"/>
      <c r="V20" s="95"/>
      <c r="W20" s="96"/>
      <c r="X20" s="96"/>
      <c r="Y20" s="96"/>
      <c r="Z20" s="96"/>
      <c r="AA20" s="96"/>
      <c r="AB20" s="96"/>
      <c r="AC20" s="97"/>
      <c r="AD20" s="11"/>
      <c r="AE20" s="3"/>
    </row>
    <row r="21" spans="1:31" ht="12.75" customHeight="1" x14ac:dyDescent="0.2">
      <c r="A21" s="2"/>
      <c r="B21" s="105"/>
      <c r="C21" s="106"/>
      <c r="D21" s="106"/>
      <c r="E21" s="106"/>
      <c r="F21" s="106"/>
      <c r="G21" s="106"/>
      <c r="H21" s="106"/>
      <c r="I21" s="107"/>
      <c r="J21" s="4"/>
      <c r="K21" s="2"/>
      <c r="L21" s="87"/>
      <c r="M21" s="88"/>
      <c r="N21" s="88"/>
      <c r="O21" s="88"/>
      <c r="P21" s="88"/>
      <c r="Q21" s="88"/>
      <c r="R21" s="88"/>
      <c r="S21" s="89"/>
      <c r="T21" s="4"/>
      <c r="U21" s="2"/>
      <c r="V21" s="95"/>
      <c r="W21" s="96"/>
      <c r="X21" s="96"/>
      <c r="Y21" s="96"/>
      <c r="Z21" s="96"/>
      <c r="AA21" s="96"/>
      <c r="AB21" s="96"/>
      <c r="AC21" s="97"/>
      <c r="AD21" s="11"/>
      <c r="AE21" s="3"/>
    </row>
    <row r="22" spans="1:31" ht="12.75" customHeight="1" x14ac:dyDescent="0.2">
      <c r="A22" s="2"/>
      <c r="B22" s="90"/>
      <c r="C22" s="91"/>
      <c r="D22" s="91"/>
      <c r="E22" s="91"/>
      <c r="F22" s="91"/>
      <c r="G22" s="91"/>
      <c r="H22" s="91"/>
      <c r="I22" s="92"/>
      <c r="J22" s="4"/>
      <c r="K22" s="2"/>
      <c r="L22" s="87"/>
      <c r="M22" s="88"/>
      <c r="N22" s="88"/>
      <c r="O22" s="88"/>
      <c r="P22" s="88"/>
      <c r="Q22" s="88"/>
      <c r="R22" s="88"/>
      <c r="S22" s="89"/>
      <c r="T22" s="4"/>
      <c r="U22" s="2"/>
      <c r="V22" s="95"/>
      <c r="W22" s="96"/>
      <c r="X22" s="96"/>
      <c r="Y22" s="96"/>
      <c r="Z22" s="96"/>
      <c r="AA22" s="96"/>
      <c r="AB22" s="96"/>
      <c r="AC22" s="97"/>
      <c r="AD22" s="11"/>
      <c r="AE22" s="3"/>
    </row>
    <row r="23" spans="1:31" ht="12.75" customHeight="1" x14ac:dyDescent="0.2">
      <c r="A23" s="2"/>
      <c r="B23" s="90"/>
      <c r="C23" s="91"/>
      <c r="D23" s="91"/>
      <c r="E23" s="91"/>
      <c r="F23" s="91"/>
      <c r="G23" s="91"/>
      <c r="H23" s="91"/>
      <c r="I23" s="92"/>
      <c r="J23" s="4"/>
      <c r="K23" s="2"/>
      <c r="L23" s="87"/>
      <c r="M23" s="88"/>
      <c r="N23" s="88"/>
      <c r="O23" s="88"/>
      <c r="P23" s="88"/>
      <c r="Q23" s="88"/>
      <c r="R23" s="88"/>
      <c r="S23" s="89"/>
      <c r="T23" s="4"/>
      <c r="U23" s="2"/>
      <c r="V23" s="95"/>
      <c r="W23" s="96"/>
      <c r="X23" s="96"/>
      <c r="Y23" s="96"/>
      <c r="Z23" s="96"/>
      <c r="AA23" s="96"/>
      <c r="AB23" s="96"/>
      <c r="AC23" s="97"/>
      <c r="AD23" s="11"/>
      <c r="AE23" s="3"/>
    </row>
    <row r="24" spans="1:31" ht="12.75" customHeight="1" x14ac:dyDescent="0.2">
      <c r="A24" s="2"/>
      <c r="B24" s="90"/>
      <c r="C24" s="91"/>
      <c r="D24" s="91"/>
      <c r="E24" s="91"/>
      <c r="F24" s="91"/>
      <c r="G24" s="91"/>
      <c r="H24" s="91"/>
      <c r="I24" s="92"/>
      <c r="J24" s="4"/>
      <c r="K24" s="2"/>
      <c r="L24" s="87"/>
      <c r="M24" s="88"/>
      <c r="N24" s="88"/>
      <c r="O24" s="88"/>
      <c r="P24" s="88"/>
      <c r="Q24" s="88"/>
      <c r="R24" s="88"/>
      <c r="S24" s="89"/>
      <c r="T24" s="4"/>
      <c r="U24" s="2"/>
      <c r="V24" s="95"/>
      <c r="W24" s="96"/>
      <c r="X24" s="96"/>
      <c r="Y24" s="96"/>
      <c r="Z24" s="96"/>
      <c r="AA24" s="96"/>
      <c r="AB24" s="96"/>
      <c r="AC24" s="97"/>
      <c r="AD24" s="11"/>
      <c r="AE24" s="3"/>
    </row>
    <row r="25" spans="1:31" ht="12.75" customHeight="1" x14ac:dyDescent="0.2">
      <c r="A25" s="2"/>
      <c r="B25" s="90"/>
      <c r="C25" s="91"/>
      <c r="D25" s="91"/>
      <c r="E25" s="91"/>
      <c r="F25" s="91"/>
      <c r="G25" s="91"/>
      <c r="H25" s="91"/>
      <c r="I25" s="92"/>
      <c r="J25" s="4"/>
      <c r="K25" s="2"/>
      <c r="L25" s="87"/>
      <c r="M25" s="88"/>
      <c r="N25" s="88"/>
      <c r="O25" s="88"/>
      <c r="P25" s="88"/>
      <c r="Q25" s="88"/>
      <c r="R25" s="88"/>
      <c r="S25" s="89"/>
      <c r="T25" s="4"/>
      <c r="U25" s="2"/>
      <c r="V25" s="95"/>
      <c r="W25" s="96"/>
      <c r="X25" s="96"/>
      <c r="Y25" s="96"/>
      <c r="Z25" s="96"/>
      <c r="AA25" s="96"/>
      <c r="AB25" s="96"/>
      <c r="AC25" s="97"/>
      <c r="AD25" s="11"/>
      <c r="AE25" s="3"/>
    </row>
    <row r="26" spans="1:31" ht="12.75" customHeight="1" x14ac:dyDescent="0.2">
      <c r="A26" s="2"/>
      <c r="B26" s="90"/>
      <c r="C26" s="91"/>
      <c r="D26" s="91"/>
      <c r="E26" s="91"/>
      <c r="F26" s="91"/>
      <c r="G26" s="91"/>
      <c r="H26" s="91"/>
      <c r="I26" s="92"/>
      <c r="J26" s="4"/>
      <c r="K26" s="2"/>
      <c r="L26" s="87"/>
      <c r="M26" s="88"/>
      <c r="N26" s="88"/>
      <c r="O26" s="88"/>
      <c r="P26" s="88"/>
      <c r="Q26" s="88"/>
      <c r="R26" s="88"/>
      <c r="S26" s="89"/>
      <c r="T26" s="4"/>
      <c r="U26" s="2"/>
      <c r="V26" s="95"/>
      <c r="W26" s="96"/>
      <c r="X26" s="96"/>
      <c r="Y26" s="96"/>
      <c r="Z26" s="96"/>
      <c r="AA26" s="96"/>
      <c r="AB26" s="96"/>
      <c r="AC26" s="97"/>
      <c r="AD26" s="11"/>
      <c r="AE26" s="3"/>
    </row>
    <row r="27" spans="1:31" ht="12.75" customHeight="1" x14ac:dyDescent="0.2">
      <c r="A27" s="2"/>
      <c r="B27" s="90"/>
      <c r="C27" s="91"/>
      <c r="D27" s="91"/>
      <c r="E27" s="91"/>
      <c r="F27" s="91"/>
      <c r="G27" s="91"/>
      <c r="H27" s="91"/>
      <c r="I27" s="92"/>
      <c r="J27" s="4"/>
      <c r="K27" s="2"/>
      <c r="L27" s="87"/>
      <c r="M27" s="88"/>
      <c r="N27" s="88"/>
      <c r="O27" s="88"/>
      <c r="P27" s="88"/>
      <c r="Q27" s="88"/>
      <c r="R27" s="88"/>
      <c r="S27" s="89"/>
      <c r="T27" s="4"/>
      <c r="U27" s="2"/>
      <c r="V27" s="95"/>
      <c r="W27" s="96"/>
      <c r="X27" s="96"/>
      <c r="Y27" s="96"/>
      <c r="Z27" s="96"/>
      <c r="AA27" s="96"/>
      <c r="AB27" s="96"/>
      <c r="AC27" s="97"/>
      <c r="AD27" s="11"/>
      <c r="AE27" s="3"/>
    </row>
    <row r="28" spans="1:31" ht="12.75" customHeight="1" x14ac:dyDescent="0.2">
      <c r="A28" s="2"/>
      <c r="B28" s="90"/>
      <c r="C28" s="91"/>
      <c r="D28" s="91"/>
      <c r="E28" s="91"/>
      <c r="F28" s="91"/>
      <c r="G28" s="91"/>
      <c r="H28" s="91"/>
      <c r="I28" s="92"/>
      <c r="J28" s="4"/>
      <c r="K28" s="2"/>
      <c r="L28" s="87"/>
      <c r="M28" s="88"/>
      <c r="N28" s="88"/>
      <c r="O28" s="88"/>
      <c r="P28" s="88"/>
      <c r="Q28" s="88"/>
      <c r="R28" s="88"/>
      <c r="S28" s="89"/>
      <c r="T28" s="4"/>
      <c r="U28" s="2"/>
      <c r="V28" s="95"/>
      <c r="W28" s="96"/>
      <c r="X28" s="96"/>
      <c r="Y28" s="96"/>
      <c r="Z28" s="96"/>
      <c r="AA28" s="96"/>
      <c r="AB28" s="96"/>
      <c r="AC28" s="97"/>
      <c r="AD28" s="11"/>
      <c r="AE28" s="3"/>
    </row>
    <row r="29" spans="1:31" ht="12.75" customHeight="1" x14ac:dyDescent="0.2">
      <c r="A29" s="2"/>
      <c r="B29" s="90"/>
      <c r="C29" s="91"/>
      <c r="D29" s="91"/>
      <c r="E29" s="91"/>
      <c r="F29" s="91"/>
      <c r="G29" s="91"/>
      <c r="H29" s="91"/>
      <c r="I29" s="92"/>
      <c r="J29" s="4"/>
      <c r="K29" s="2"/>
      <c r="L29" s="87"/>
      <c r="M29" s="88"/>
      <c r="N29" s="88"/>
      <c r="O29" s="88"/>
      <c r="P29" s="88"/>
      <c r="Q29" s="88"/>
      <c r="R29" s="88"/>
      <c r="S29" s="89"/>
      <c r="T29" s="4"/>
      <c r="U29" s="2"/>
      <c r="V29" s="95"/>
      <c r="W29" s="96"/>
      <c r="X29" s="96"/>
      <c r="Y29" s="96"/>
      <c r="Z29" s="96"/>
      <c r="AA29" s="96"/>
      <c r="AB29" s="96"/>
      <c r="AC29" s="97"/>
      <c r="AD29" s="11"/>
      <c r="AE29" s="3"/>
    </row>
    <row r="30" spans="1:31" ht="12.75" customHeight="1" x14ac:dyDescent="0.2">
      <c r="A30" s="2"/>
      <c r="B30" s="90"/>
      <c r="C30" s="91"/>
      <c r="D30" s="91"/>
      <c r="E30" s="91"/>
      <c r="F30" s="91"/>
      <c r="G30" s="91"/>
      <c r="H30" s="91"/>
      <c r="I30" s="92"/>
      <c r="J30" s="4"/>
      <c r="K30" s="2"/>
      <c r="L30" s="87"/>
      <c r="M30" s="88"/>
      <c r="N30" s="88"/>
      <c r="O30" s="88"/>
      <c r="P30" s="88"/>
      <c r="Q30" s="88"/>
      <c r="R30" s="88"/>
      <c r="S30" s="89"/>
      <c r="T30" s="4"/>
      <c r="U30" s="2"/>
      <c r="V30" s="95"/>
      <c r="W30" s="96"/>
      <c r="X30" s="96"/>
      <c r="Y30" s="96"/>
      <c r="Z30" s="96"/>
      <c r="AA30" s="96"/>
      <c r="AB30" s="96"/>
      <c r="AC30" s="97"/>
      <c r="AD30" s="11"/>
      <c r="AE30" s="3"/>
    </row>
    <row r="31" spans="1:31" ht="12.75" customHeight="1" x14ac:dyDescent="0.2">
      <c r="A31" s="2"/>
      <c r="B31" s="90"/>
      <c r="C31" s="91"/>
      <c r="D31" s="91"/>
      <c r="E31" s="91"/>
      <c r="F31" s="91"/>
      <c r="G31" s="91"/>
      <c r="H31" s="91"/>
      <c r="I31" s="92"/>
      <c r="J31" s="4"/>
      <c r="K31" s="2"/>
      <c r="L31" s="87"/>
      <c r="M31" s="88"/>
      <c r="N31" s="88"/>
      <c r="O31" s="88"/>
      <c r="P31" s="88"/>
      <c r="Q31" s="88"/>
      <c r="R31" s="88"/>
      <c r="S31" s="89"/>
      <c r="T31" s="4"/>
      <c r="U31" s="2"/>
      <c r="V31" s="95"/>
      <c r="W31" s="96"/>
      <c r="X31" s="96"/>
      <c r="Y31" s="96"/>
      <c r="Z31" s="96"/>
      <c r="AA31" s="96"/>
      <c r="AB31" s="96"/>
      <c r="AC31" s="97"/>
      <c r="AD31" s="11"/>
      <c r="AE31" s="3"/>
    </row>
    <row r="32" spans="1:31" ht="12" customHeight="1" x14ac:dyDescent="0.2">
      <c r="A32" s="2"/>
      <c r="B32" s="90"/>
      <c r="C32" s="91"/>
      <c r="D32" s="91"/>
      <c r="E32" s="91"/>
      <c r="F32" s="91"/>
      <c r="G32" s="91"/>
      <c r="H32" s="91"/>
      <c r="I32" s="92"/>
      <c r="J32" s="4"/>
      <c r="K32" s="2"/>
      <c r="L32" s="87"/>
      <c r="M32" s="88"/>
      <c r="N32" s="88"/>
      <c r="O32" s="88"/>
      <c r="P32" s="88"/>
      <c r="Q32" s="88"/>
      <c r="R32" s="88"/>
      <c r="S32" s="89"/>
      <c r="T32" s="4"/>
      <c r="U32" s="2"/>
      <c r="V32" s="95"/>
      <c r="W32" s="96"/>
      <c r="X32" s="96"/>
      <c r="Y32" s="96"/>
      <c r="Z32" s="96"/>
      <c r="AA32" s="96"/>
      <c r="AB32" s="96"/>
      <c r="AC32" s="97"/>
      <c r="AD32" s="11"/>
      <c r="AE32" s="3"/>
    </row>
    <row r="33" spans="1:31" ht="12.75" customHeight="1" x14ac:dyDescent="0.2">
      <c r="A33" s="2"/>
      <c r="B33" s="90"/>
      <c r="C33" s="91"/>
      <c r="D33" s="91"/>
      <c r="E33" s="91"/>
      <c r="F33" s="91"/>
      <c r="G33" s="91"/>
      <c r="H33" s="91"/>
      <c r="I33" s="92"/>
      <c r="J33" s="4"/>
      <c r="K33" s="2"/>
      <c r="L33" s="87"/>
      <c r="M33" s="88"/>
      <c r="N33" s="88"/>
      <c r="O33" s="88"/>
      <c r="P33" s="88"/>
      <c r="Q33" s="88"/>
      <c r="R33" s="88"/>
      <c r="S33" s="89"/>
      <c r="T33" s="4"/>
      <c r="U33" s="2"/>
      <c r="V33" s="95"/>
      <c r="W33" s="96"/>
      <c r="X33" s="96"/>
      <c r="Y33" s="96"/>
      <c r="Z33" s="96"/>
      <c r="AA33" s="96"/>
      <c r="AB33" s="96"/>
      <c r="AC33" s="97"/>
      <c r="AD33" s="11"/>
      <c r="AE33" s="3"/>
    </row>
    <row r="34" spans="1:31" ht="12.75" customHeight="1" x14ac:dyDescent="0.2">
      <c r="A34" s="2"/>
      <c r="B34" s="90"/>
      <c r="C34" s="91"/>
      <c r="D34" s="91"/>
      <c r="E34" s="91"/>
      <c r="F34" s="91"/>
      <c r="G34" s="91"/>
      <c r="H34" s="91"/>
      <c r="I34" s="92"/>
      <c r="J34" s="4"/>
      <c r="K34" s="2"/>
      <c r="L34" s="87"/>
      <c r="M34" s="88"/>
      <c r="N34" s="88"/>
      <c r="O34" s="88"/>
      <c r="P34" s="88"/>
      <c r="Q34" s="88"/>
      <c r="R34" s="88"/>
      <c r="S34" s="89"/>
      <c r="T34" s="4"/>
      <c r="U34" s="2"/>
      <c r="V34" s="95"/>
      <c r="W34" s="96"/>
      <c r="X34" s="96"/>
      <c r="Y34" s="96"/>
      <c r="Z34" s="96"/>
      <c r="AA34" s="96"/>
      <c r="AB34" s="96"/>
      <c r="AC34" s="97"/>
      <c r="AD34" s="11"/>
      <c r="AE34" s="3"/>
    </row>
    <row r="35" spans="1:31" ht="12.75" customHeight="1" x14ac:dyDescent="0.2">
      <c r="A35" s="2"/>
      <c r="B35" s="90"/>
      <c r="C35" s="91"/>
      <c r="D35" s="91"/>
      <c r="E35" s="91"/>
      <c r="F35" s="91"/>
      <c r="G35" s="91"/>
      <c r="H35" s="91"/>
      <c r="I35" s="92"/>
      <c r="J35" s="4"/>
      <c r="K35" s="2"/>
      <c r="L35" s="87"/>
      <c r="M35" s="88"/>
      <c r="N35" s="88"/>
      <c r="O35" s="88"/>
      <c r="P35" s="88"/>
      <c r="Q35" s="88"/>
      <c r="R35" s="88"/>
      <c r="S35" s="89"/>
      <c r="T35" s="4"/>
      <c r="U35" s="2"/>
      <c r="V35" s="95"/>
      <c r="W35" s="96"/>
      <c r="X35" s="96"/>
      <c r="Y35" s="96"/>
      <c r="Z35" s="96"/>
      <c r="AA35" s="96"/>
      <c r="AB35" s="96"/>
      <c r="AC35" s="97"/>
      <c r="AD35" s="11"/>
      <c r="AE35" s="3"/>
    </row>
    <row r="36" spans="1:31" ht="12.75" customHeight="1" x14ac:dyDescent="0.2">
      <c r="A36" s="2"/>
      <c r="B36" s="90"/>
      <c r="C36" s="91"/>
      <c r="D36" s="91"/>
      <c r="E36" s="91"/>
      <c r="F36" s="91"/>
      <c r="G36" s="91"/>
      <c r="H36" s="91"/>
      <c r="I36" s="92"/>
      <c r="J36" s="4"/>
      <c r="K36" s="2"/>
      <c r="L36" s="87"/>
      <c r="M36" s="88"/>
      <c r="N36" s="88"/>
      <c r="O36" s="88"/>
      <c r="P36" s="88"/>
      <c r="Q36" s="88"/>
      <c r="R36" s="88"/>
      <c r="S36" s="89"/>
      <c r="T36" s="4"/>
      <c r="U36" s="2"/>
      <c r="V36" s="95"/>
      <c r="W36" s="96"/>
      <c r="X36" s="96"/>
      <c r="Y36" s="96"/>
      <c r="Z36" s="96"/>
      <c r="AA36" s="96"/>
      <c r="AB36" s="96"/>
      <c r="AC36" s="97"/>
      <c r="AD36" s="11"/>
      <c r="AE36" s="3"/>
    </row>
    <row r="37" spans="1:31" ht="12.75" customHeight="1" x14ac:dyDescent="0.2">
      <c r="A37" s="2"/>
      <c r="B37" s="90"/>
      <c r="C37" s="91"/>
      <c r="D37" s="91"/>
      <c r="E37" s="91"/>
      <c r="F37" s="91"/>
      <c r="G37" s="91"/>
      <c r="H37" s="91"/>
      <c r="I37" s="92"/>
      <c r="J37" s="4"/>
      <c r="K37" s="2"/>
      <c r="L37" s="87"/>
      <c r="M37" s="88"/>
      <c r="N37" s="88"/>
      <c r="O37" s="88"/>
      <c r="P37" s="88"/>
      <c r="Q37" s="88"/>
      <c r="R37" s="88"/>
      <c r="S37" s="89"/>
      <c r="T37" s="4"/>
      <c r="U37" s="2"/>
      <c r="V37" s="95"/>
      <c r="W37" s="96"/>
      <c r="X37" s="96"/>
      <c r="Y37" s="96"/>
      <c r="Z37" s="96"/>
      <c r="AA37" s="96"/>
      <c r="AB37" s="96"/>
      <c r="AC37" s="97"/>
      <c r="AD37" s="11"/>
      <c r="AE37" s="3"/>
    </row>
    <row r="38" spans="1:31" ht="12.75" customHeight="1" x14ac:dyDescent="0.2">
      <c r="A38" s="2"/>
      <c r="B38" s="90"/>
      <c r="C38" s="91"/>
      <c r="D38" s="91"/>
      <c r="E38" s="91"/>
      <c r="F38" s="91"/>
      <c r="G38" s="91"/>
      <c r="H38" s="91"/>
      <c r="I38" s="92"/>
      <c r="J38" s="4"/>
      <c r="K38" s="2"/>
      <c r="L38" s="87"/>
      <c r="M38" s="88"/>
      <c r="N38" s="88"/>
      <c r="O38" s="88"/>
      <c r="P38" s="88"/>
      <c r="Q38" s="88"/>
      <c r="R38" s="88"/>
      <c r="S38" s="89"/>
      <c r="T38" s="4"/>
      <c r="U38" s="2"/>
      <c r="V38" s="95"/>
      <c r="W38" s="96"/>
      <c r="X38" s="96"/>
      <c r="Y38" s="96"/>
      <c r="Z38" s="96"/>
      <c r="AA38" s="96"/>
      <c r="AB38" s="96"/>
      <c r="AC38" s="97"/>
      <c r="AD38" s="11"/>
      <c r="AE38" s="3"/>
    </row>
    <row r="39" spans="1:31" ht="12.75" customHeight="1" x14ac:dyDescent="0.2">
      <c r="A39" s="2"/>
      <c r="B39" s="90"/>
      <c r="C39" s="91"/>
      <c r="D39" s="91"/>
      <c r="E39" s="91"/>
      <c r="F39" s="91"/>
      <c r="G39" s="91"/>
      <c r="H39" s="91"/>
      <c r="I39" s="92"/>
      <c r="J39" s="4"/>
      <c r="K39" s="2"/>
      <c r="L39" s="87"/>
      <c r="M39" s="88"/>
      <c r="N39" s="88"/>
      <c r="O39" s="88"/>
      <c r="P39" s="88"/>
      <c r="Q39" s="88"/>
      <c r="R39" s="88"/>
      <c r="S39" s="89"/>
      <c r="T39" s="4"/>
      <c r="U39" s="2"/>
      <c r="V39" s="95"/>
      <c r="W39" s="96"/>
      <c r="X39" s="96"/>
      <c r="Y39" s="96"/>
      <c r="Z39" s="96"/>
      <c r="AA39" s="96"/>
      <c r="AB39" s="96"/>
      <c r="AC39" s="97"/>
      <c r="AD39" s="11"/>
      <c r="AE39" s="3"/>
    </row>
    <row r="40" spans="1:31" ht="12.75" customHeight="1" x14ac:dyDescent="0.2">
      <c r="A40" s="2"/>
      <c r="B40" s="90"/>
      <c r="C40" s="91"/>
      <c r="D40" s="91"/>
      <c r="E40" s="91"/>
      <c r="F40" s="91"/>
      <c r="G40" s="91"/>
      <c r="H40" s="91"/>
      <c r="I40" s="92"/>
      <c r="J40" s="4"/>
      <c r="K40" s="2"/>
      <c r="L40" s="87"/>
      <c r="M40" s="88"/>
      <c r="N40" s="88"/>
      <c r="O40" s="88"/>
      <c r="P40" s="88"/>
      <c r="Q40" s="88"/>
      <c r="R40" s="88"/>
      <c r="S40" s="89"/>
      <c r="T40" s="4"/>
      <c r="U40" s="2"/>
      <c r="V40" s="95"/>
      <c r="W40" s="96"/>
      <c r="X40" s="96"/>
      <c r="Y40" s="96"/>
      <c r="Z40" s="96"/>
      <c r="AA40" s="96"/>
      <c r="AB40" s="96"/>
      <c r="AC40" s="97"/>
      <c r="AD40" s="11"/>
      <c r="AE40" s="3"/>
    </row>
    <row r="41" spans="1:31" ht="12.75" customHeight="1" x14ac:dyDescent="0.2">
      <c r="A41" s="2"/>
      <c r="B41" s="90"/>
      <c r="C41" s="91"/>
      <c r="D41" s="91"/>
      <c r="E41" s="91"/>
      <c r="F41" s="91"/>
      <c r="G41" s="91"/>
      <c r="H41" s="91"/>
      <c r="I41" s="92"/>
      <c r="J41" s="4"/>
      <c r="K41" s="2"/>
      <c r="L41" s="87"/>
      <c r="M41" s="88"/>
      <c r="N41" s="88"/>
      <c r="O41" s="88"/>
      <c r="P41" s="88"/>
      <c r="Q41" s="88"/>
      <c r="R41" s="88"/>
      <c r="S41" s="89"/>
      <c r="T41" s="4"/>
      <c r="U41" s="2"/>
      <c r="V41" s="95"/>
      <c r="W41" s="96"/>
      <c r="X41" s="96"/>
      <c r="Y41" s="96"/>
      <c r="Z41" s="96"/>
      <c r="AA41" s="96"/>
      <c r="AB41" s="96"/>
      <c r="AC41" s="97"/>
      <c r="AD41" s="11"/>
      <c r="AE41" s="3"/>
    </row>
    <row r="42" spans="1:31" ht="12.75" customHeight="1" x14ac:dyDescent="0.2">
      <c r="A42" s="2"/>
      <c r="B42" s="90"/>
      <c r="C42" s="91"/>
      <c r="D42" s="91"/>
      <c r="E42" s="91"/>
      <c r="F42" s="91"/>
      <c r="G42" s="91"/>
      <c r="H42" s="91"/>
      <c r="I42" s="92"/>
      <c r="J42" s="4"/>
      <c r="K42" s="2"/>
      <c r="L42" s="87"/>
      <c r="M42" s="88"/>
      <c r="N42" s="88"/>
      <c r="O42" s="88"/>
      <c r="P42" s="88"/>
      <c r="Q42" s="88"/>
      <c r="R42" s="88"/>
      <c r="S42" s="89"/>
      <c r="T42" s="4"/>
      <c r="U42" s="2"/>
      <c r="V42" s="95"/>
      <c r="W42" s="96"/>
      <c r="X42" s="96"/>
      <c r="Y42" s="96"/>
      <c r="Z42" s="96"/>
      <c r="AA42" s="96"/>
      <c r="AB42" s="96"/>
      <c r="AC42" s="97"/>
      <c r="AD42" s="11"/>
      <c r="AE42" s="3"/>
    </row>
    <row r="43" spans="1:31" ht="12.75" customHeight="1" x14ac:dyDescent="0.2">
      <c r="A43" s="2"/>
      <c r="B43" s="90"/>
      <c r="C43" s="91"/>
      <c r="D43" s="91"/>
      <c r="E43" s="91"/>
      <c r="F43" s="91"/>
      <c r="G43" s="91"/>
      <c r="H43" s="91"/>
      <c r="I43" s="92"/>
      <c r="J43" s="4"/>
      <c r="K43" s="2"/>
      <c r="L43" s="87"/>
      <c r="M43" s="88"/>
      <c r="N43" s="88"/>
      <c r="O43" s="88"/>
      <c r="P43" s="88"/>
      <c r="Q43" s="88"/>
      <c r="R43" s="88"/>
      <c r="S43" s="89"/>
      <c r="T43" s="4"/>
      <c r="U43" s="2"/>
      <c r="V43" s="95"/>
      <c r="W43" s="96"/>
      <c r="X43" s="96"/>
      <c r="Y43" s="96"/>
      <c r="Z43" s="96"/>
      <c r="AA43" s="96"/>
      <c r="AB43" s="96"/>
      <c r="AC43" s="97"/>
      <c r="AD43" s="11"/>
      <c r="AE43" s="3"/>
    </row>
    <row r="44" spans="1:31" ht="12.75" customHeight="1" x14ac:dyDescent="0.2">
      <c r="A44" s="2"/>
      <c r="B44" s="90"/>
      <c r="C44" s="91"/>
      <c r="D44" s="91"/>
      <c r="E44" s="91"/>
      <c r="F44" s="91"/>
      <c r="G44" s="91"/>
      <c r="H44" s="91"/>
      <c r="I44" s="92"/>
      <c r="J44" s="4"/>
      <c r="K44" s="2"/>
      <c r="L44" s="87"/>
      <c r="M44" s="88"/>
      <c r="N44" s="88"/>
      <c r="O44" s="88"/>
      <c r="P44" s="88"/>
      <c r="Q44" s="88"/>
      <c r="R44" s="88"/>
      <c r="S44" s="89"/>
      <c r="T44" s="4"/>
      <c r="U44" s="2"/>
      <c r="V44" s="95"/>
      <c r="W44" s="96"/>
      <c r="X44" s="96"/>
      <c r="Y44" s="96"/>
      <c r="Z44" s="96"/>
      <c r="AA44" s="96"/>
      <c r="AB44" s="96"/>
      <c r="AC44" s="97"/>
      <c r="AD44" s="11"/>
      <c r="AE44" s="3"/>
    </row>
    <row r="45" spans="1:31" ht="12.75" customHeight="1" x14ac:dyDescent="0.2">
      <c r="A45" s="2"/>
      <c r="B45" s="90"/>
      <c r="C45" s="91"/>
      <c r="D45" s="91"/>
      <c r="E45" s="91"/>
      <c r="F45" s="91"/>
      <c r="G45" s="91"/>
      <c r="H45" s="91"/>
      <c r="I45" s="92"/>
      <c r="J45" s="4"/>
      <c r="K45" s="2"/>
      <c r="L45" s="87"/>
      <c r="M45" s="88"/>
      <c r="N45" s="88"/>
      <c r="O45" s="88"/>
      <c r="P45" s="88"/>
      <c r="Q45" s="88"/>
      <c r="R45" s="88"/>
      <c r="S45" s="89"/>
      <c r="T45" s="4"/>
      <c r="U45" s="2"/>
      <c r="V45" s="95"/>
      <c r="W45" s="96"/>
      <c r="X45" s="96"/>
      <c r="Y45" s="96"/>
      <c r="Z45" s="96"/>
      <c r="AA45" s="96"/>
      <c r="AB45" s="96"/>
      <c r="AC45" s="97"/>
      <c r="AD45" s="11"/>
      <c r="AE45" s="3"/>
    </row>
    <row r="46" spans="1:31" ht="12.75" customHeight="1" x14ac:dyDescent="0.2">
      <c r="A46" s="2"/>
      <c r="B46" s="90"/>
      <c r="C46" s="91"/>
      <c r="D46" s="91"/>
      <c r="E46" s="91"/>
      <c r="F46" s="91"/>
      <c r="G46" s="91"/>
      <c r="H46" s="91"/>
      <c r="I46" s="92"/>
      <c r="J46" s="4"/>
      <c r="K46" s="2"/>
      <c r="L46" s="87"/>
      <c r="M46" s="88"/>
      <c r="N46" s="88"/>
      <c r="O46" s="88"/>
      <c r="P46" s="88"/>
      <c r="Q46" s="88"/>
      <c r="R46" s="88"/>
      <c r="S46" s="89"/>
      <c r="T46" s="4"/>
      <c r="U46" s="2"/>
      <c r="V46" s="95"/>
      <c r="W46" s="96"/>
      <c r="X46" s="96"/>
      <c r="Y46" s="96"/>
      <c r="Z46" s="96"/>
      <c r="AA46" s="96"/>
      <c r="AB46" s="96"/>
      <c r="AC46" s="97"/>
      <c r="AD46" s="11"/>
      <c r="AE46" s="3"/>
    </row>
    <row r="47" spans="1:31" ht="12.75" customHeight="1" x14ac:dyDescent="0.2">
      <c r="A47" s="2"/>
      <c r="B47" s="90"/>
      <c r="C47" s="91"/>
      <c r="D47" s="91"/>
      <c r="E47" s="91"/>
      <c r="F47" s="91"/>
      <c r="G47" s="91"/>
      <c r="H47" s="91"/>
      <c r="I47" s="92"/>
      <c r="J47" s="4"/>
      <c r="K47" s="2"/>
      <c r="L47" s="87"/>
      <c r="M47" s="88"/>
      <c r="N47" s="88"/>
      <c r="O47" s="88"/>
      <c r="P47" s="88"/>
      <c r="Q47" s="88"/>
      <c r="R47" s="88"/>
      <c r="S47" s="89"/>
      <c r="T47" s="4"/>
      <c r="U47" s="2"/>
      <c r="V47" s="95"/>
      <c r="W47" s="96"/>
      <c r="X47" s="96"/>
      <c r="Y47" s="96"/>
      <c r="Z47" s="96"/>
      <c r="AA47" s="96"/>
      <c r="AB47" s="96"/>
      <c r="AC47" s="97"/>
      <c r="AD47" s="11"/>
      <c r="AE47" s="3"/>
    </row>
    <row r="48" spans="1:31" ht="12.75" customHeight="1" x14ac:dyDescent="0.2">
      <c r="A48" s="2"/>
      <c r="B48" s="90"/>
      <c r="C48" s="91"/>
      <c r="D48" s="91"/>
      <c r="E48" s="91"/>
      <c r="F48" s="91"/>
      <c r="G48" s="91"/>
      <c r="H48" s="91"/>
      <c r="I48" s="92"/>
      <c r="J48" s="4"/>
      <c r="K48" s="2"/>
      <c r="L48" s="87"/>
      <c r="M48" s="88"/>
      <c r="N48" s="88"/>
      <c r="O48" s="88"/>
      <c r="P48" s="88"/>
      <c r="Q48" s="88"/>
      <c r="R48" s="88"/>
      <c r="S48" s="89"/>
      <c r="T48" s="4"/>
      <c r="U48" s="2"/>
      <c r="V48" s="95"/>
      <c r="W48" s="96"/>
      <c r="X48" s="96"/>
      <c r="Y48" s="96"/>
      <c r="Z48" s="96"/>
      <c r="AA48" s="96"/>
      <c r="AB48" s="96"/>
      <c r="AC48" s="97"/>
      <c r="AD48" s="11"/>
      <c r="AE48" s="3"/>
    </row>
    <row r="49" spans="1:31" ht="12.75" customHeight="1" x14ac:dyDescent="0.2">
      <c r="A49" s="2"/>
      <c r="B49" s="90"/>
      <c r="C49" s="91"/>
      <c r="D49" s="91"/>
      <c r="E49" s="91"/>
      <c r="F49" s="91"/>
      <c r="G49" s="91"/>
      <c r="H49" s="91"/>
      <c r="I49" s="92"/>
      <c r="J49" s="4"/>
      <c r="K49" s="2"/>
      <c r="L49" s="87"/>
      <c r="M49" s="88"/>
      <c r="N49" s="88"/>
      <c r="O49" s="88"/>
      <c r="P49" s="88"/>
      <c r="Q49" s="88"/>
      <c r="R49" s="88"/>
      <c r="S49" s="89"/>
      <c r="T49" s="4"/>
      <c r="U49" s="2"/>
      <c r="V49" s="95"/>
      <c r="W49" s="96"/>
      <c r="X49" s="96"/>
      <c r="Y49" s="96"/>
      <c r="Z49" s="96"/>
      <c r="AA49" s="96"/>
      <c r="AB49" s="96"/>
      <c r="AC49" s="97"/>
      <c r="AD49" s="11"/>
      <c r="AE49" s="3"/>
    </row>
    <row r="50" spans="1:31" ht="12.75" customHeight="1" thickBot="1" x14ac:dyDescent="0.25">
      <c r="A50" s="2"/>
      <c r="B50" s="150"/>
      <c r="C50" s="151"/>
      <c r="D50" s="151"/>
      <c r="E50" s="151"/>
      <c r="F50" s="151"/>
      <c r="G50" s="151"/>
      <c r="H50" s="151"/>
      <c r="I50" s="152"/>
      <c r="J50" s="4"/>
      <c r="K50" s="2"/>
      <c r="L50" s="87"/>
      <c r="M50" s="88"/>
      <c r="N50" s="88"/>
      <c r="O50" s="88"/>
      <c r="P50" s="88"/>
      <c r="Q50" s="88"/>
      <c r="R50" s="88"/>
      <c r="S50" s="89"/>
      <c r="T50" s="4"/>
      <c r="U50" s="2"/>
      <c r="V50" s="95"/>
      <c r="W50" s="96"/>
      <c r="X50" s="96"/>
      <c r="Y50" s="96"/>
      <c r="Z50" s="96"/>
      <c r="AA50" s="96"/>
      <c r="AB50" s="96"/>
      <c r="AC50" s="97"/>
      <c r="AD50" s="11"/>
      <c r="AE50" s="3"/>
    </row>
    <row r="51" spans="1:31" ht="12.75" customHeight="1" thickTop="1" x14ac:dyDescent="0.2">
      <c r="A51" s="33"/>
      <c r="B51" s="47" t="s">
        <v>93</v>
      </c>
      <c r="C51" s="47"/>
      <c r="D51" s="47"/>
      <c r="E51" s="47"/>
      <c r="F51" s="47"/>
      <c r="G51" s="47"/>
      <c r="H51" s="47"/>
      <c r="I51" s="47"/>
      <c r="J51" s="34"/>
      <c r="K51" s="2"/>
      <c r="L51" s="87"/>
      <c r="M51" s="88"/>
      <c r="N51" s="88"/>
      <c r="O51" s="88"/>
      <c r="P51" s="88"/>
      <c r="Q51" s="88"/>
      <c r="R51" s="88"/>
      <c r="S51" s="89"/>
      <c r="T51" s="4"/>
      <c r="U51" s="2"/>
      <c r="V51" s="95"/>
      <c r="W51" s="96"/>
      <c r="X51" s="96"/>
      <c r="Y51" s="96"/>
      <c r="Z51" s="96"/>
      <c r="AA51" s="96"/>
      <c r="AB51" s="96"/>
      <c r="AC51" s="97"/>
      <c r="AD51" s="11"/>
      <c r="AE51" s="3"/>
    </row>
    <row r="52" spans="1:31" ht="12.75" customHeight="1" x14ac:dyDescent="0.2">
      <c r="A52" s="9"/>
      <c r="B52" s="93"/>
      <c r="C52" s="94"/>
      <c r="D52" s="94"/>
      <c r="E52" s="94"/>
      <c r="F52" s="94"/>
      <c r="G52" s="94"/>
      <c r="H52" s="94"/>
      <c r="I52" s="94"/>
      <c r="J52" s="11"/>
      <c r="K52" s="2"/>
      <c r="L52" s="87"/>
      <c r="M52" s="88"/>
      <c r="N52" s="88"/>
      <c r="O52" s="88"/>
      <c r="P52" s="88"/>
      <c r="Q52" s="88"/>
      <c r="R52" s="88"/>
      <c r="S52" s="89"/>
      <c r="T52" s="4"/>
      <c r="U52" s="2"/>
      <c r="V52" s="95"/>
      <c r="W52" s="96"/>
      <c r="X52" s="96"/>
      <c r="Y52" s="96"/>
      <c r="Z52" s="96"/>
      <c r="AA52" s="96"/>
      <c r="AB52" s="96"/>
      <c r="AC52" s="97"/>
      <c r="AD52" s="11"/>
      <c r="AE52" s="3"/>
    </row>
    <row r="53" spans="1:31" ht="12" customHeight="1" x14ac:dyDescent="0.2">
      <c r="A53" s="9"/>
      <c r="B53" s="81"/>
      <c r="C53" s="81"/>
      <c r="D53" s="81"/>
      <c r="E53" s="81"/>
      <c r="F53" s="81"/>
      <c r="G53" s="81"/>
      <c r="H53" s="81"/>
      <c r="I53" s="81"/>
      <c r="J53" s="11"/>
      <c r="K53" s="2"/>
      <c r="L53" s="87"/>
      <c r="M53" s="88"/>
      <c r="N53" s="88"/>
      <c r="O53" s="88"/>
      <c r="P53" s="88"/>
      <c r="Q53" s="88"/>
      <c r="R53" s="88"/>
      <c r="S53" s="89"/>
      <c r="T53" s="4"/>
      <c r="U53" s="2"/>
      <c r="V53" s="95"/>
      <c r="W53" s="96"/>
      <c r="X53" s="96"/>
      <c r="Y53" s="96"/>
      <c r="Z53" s="96"/>
      <c r="AA53" s="96"/>
      <c r="AB53" s="96"/>
      <c r="AC53" s="97"/>
      <c r="AD53" s="11"/>
      <c r="AE53" s="3"/>
    </row>
    <row r="54" spans="1:31" ht="12.75" customHeight="1" x14ac:dyDescent="0.2">
      <c r="A54" s="9"/>
      <c r="B54" s="46" t="s">
        <v>36</v>
      </c>
      <c r="C54" s="45"/>
      <c r="D54" s="45"/>
      <c r="E54" s="45"/>
      <c r="F54" s="45"/>
      <c r="G54" s="45"/>
      <c r="H54" s="45"/>
      <c r="I54" s="45"/>
      <c r="J54" s="11"/>
      <c r="K54" s="2"/>
      <c r="L54" s="153"/>
      <c r="M54" s="154"/>
      <c r="N54" s="154"/>
      <c r="O54" s="154"/>
      <c r="P54" s="154"/>
      <c r="Q54" s="154"/>
      <c r="R54" s="154"/>
      <c r="S54" s="155"/>
      <c r="T54" s="4"/>
      <c r="U54" s="2"/>
      <c r="V54" s="95"/>
      <c r="W54" s="96"/>
      <c r="X54" s="96"/>
      <c r="Y54" s="96"/>
      <c r="Z54" s="96"/>
      <c r="AA54" s="96"/>
      <c r="AB54" s="96"/>
      <c r="AC54" s="97"/>
      <c r="AD54" s="11"/>
      <c r="AE54" s="3"/>
    </row>
    <row r="55" spans="1:31" ht="12" customHeight="1" x14ac:dyDescent="0.2">
      <c r="A55" s="9"/>
      <c r="B55" s="93"/>
      <c r="C55" s="94"/>
      <c r="D55" s="94"/>
      <c r="E55" s="94"/>
      <c r="F55" s="94"/>
      <c r="G55" s="94"/>
      <c r="H55" s="94"/>
      <c r="I55" s="94"/>
      <c r="J55" s="11"/>
      <c r="K55" s="2"/>
      <c r="L55" s="153"/>
      <c r="M55" s="154"/>
      <c r="N55" s="154"/>
      <c r="O55" s="154"/>
      <c r="P55" s="154"/>
      <c r="Q55" s="154"/>
      <c r="R55" s="154"/>
      <c r="S55" s="155"/>
      <c r="T55" s="4"/>
      <c r="U55" s="2"/>
      <c r="V55" s="95"/>
      <c r="W55" s="96"/>
      <c r="X55" s="96"/>
      <c r="Y55" s="96"/>
      <c r="Z55" s="96"/>
      <c r="AA55" s="96"/>
      <c r="AB55" s="96"/>
      <c r="AC55" s="97"/>
      <c r="AD55" s="11"/>
      <c r="AE55" s="3"/>
    </row>
    <row r="56" spans="1:31" ht="12" customHeight="1" x14ac:dyDescent="0.2">
      <c r="A56" s="9"/>
      <c r="B56" s="45"/>
      <c r="C56" s="45"/>
      <c r="D56" s="45"/>
      <c r="E56" s="45"/>
      <c r="F56" s="45"/>
      <c r="G56" s="45"/>
      <c r="H56" s="45"/>
      <c r="I56" s="45"/>
      <c r="J56" s="11"/>
      <c r="K56" s="2"/>
      <c r="L56" s="153"/>
      <c r="M56" s="154"/>
      <c r="N56" s="154"/>
      <c r="O56" s="154"/>
      <c r="P56" s="154"/>
      <c r="Q56" s="154"/>
      <c r="R56" s="154"/>
      <c r="S56" s="155"/>
      <c r="T56" s="4"/>
      <c r="U56" s="2"/>
      <c r="V56" s="95"/>
      <c r="W56" s="96"/>
      <c r="X56" s="96"/>
      <c r="Y56" s="96"/>
      <c r="Z56" s="96"/>
      <c r="AA56" s="96"/>
      <c r="AB56" s="96"/>
      <c r="AC56" s="97"/>
      <c r="AD56" s="11"/>
      <c r="AE56" s="3"/>
    </row>
    <row r="57" spans="1:31" ht="12" customHeight="1" x14ac:dyDescent="0.2">
      <c r="A57" s="9"/>
      <c r="B57" s="46" t="s">
        <v>35</v>
      </c>
      <c r="C57" s="45"/>
      <c r="D57" s="45"/>
      <c r="E57" s="45"/>
      <c r="F57" s="45"/>
      <c r="G57" s="45"/>
      <c r="H57" s="45"/>
      <c r="I57" s="45"/>
      <c r="J57" s="11"/>
      <c r="K57" s="2"/>
      <c r="L57" s="87"/>
      <c r="M57" s="88"/>
      <c r="N57" s="88"/>
      <c r="O57" s="88"/>
      <c r="P57" s="88"/>
      <c r="Q57" s="88"/>
      <c r="R57" s="88"/>
      <c r="S57" s="89"/>
      <c r="T57" s="4"/>
      <c r="U57" s="2"/>
      <c r="V57" s="95"/>
      <c r="W57" s="96"/>
      <c r="X57" s="96"/>
      <c r="Y57" s="96"/>
      <c r="Z57" s="96"/>
      <c r="AA57" s="96"/>
      <c r="AB57" s="96"/>
      <c r="AC57" s="97"/>
      <c r="AD57" s="11"/>
      <c r="AE57" s="3"/>
    </row>
    <row r="58" spans="1:31" ht="12" customHeight="1" x14ac:dyDescent="0.2">
      <c r="A58" s="9"/>
      <c r="B58" s="93"/>
      <c r="C58" s="94"/>
      <c r="D58" s="94"/>
      <c r="E58" s="94"/>
      <c r="F58" s="94"/>
      <c r="G58" s="94"/>
      <c r="H58" s="94"/>
      <c r="I58" s="94"/>
      <c r="J58" s="11"/>
      <c r="K58" s="2"/>
      <c r="L58" s="87"/>
      <c r="M58" s="88"/>
      <c r="N58" s="88"/>
      <c r="O58" s="88"/>
      <c r="P58" s="88"/>
      <c r="Q58" s="88"/>
      <c r="R58" s="88"/>
      <c r="S58" s="89"/>
      <c r="T58" s="4"/>
      <c r="U58" s="2"/>
      <c r="V58" s="95"/>
      <c r="W58" s="96"/>
      <c r="X58" s="96"/>
      <c r="Y58" s="96"/>
      <c r="Z58" s="96"/>
      <c r="AA58" s="96"/>
      <c r="AB58" s="96"/>
      <c r="AC58" s="97"/>
      <c r="AD58" s="11"/>
      <c r="AE58" s="3"/>
    </row>
    <row r="59" spans="1:31" ht="12" customHeight="1" x14ac:dyDescent="0.2">
      <c r="A59" s="9"/>
      <c r="B59" s="45"/>
      <c r="C59" s="45"/>
      <c r="D59" s="45"/>
      <c r="E59" s="45"/>
      <c r="F59" s="45"/>
      <c r="G59" s="45"/>
      <c r="H59" s="45"/>
      <c r="I59" s="45"/>
      <c r="J59" s="11"/>
      <c r="K59" s="2"/>
      <c r="L59" s="87"/>
      <c r="M59" s="88"/>
      <c r="N59" s="88"/>
      <c r="O59" s="88"/>
      <c r="P59" s="88"/>
      <c r="Q59" s="88"/>
      <c r="R59" s="88"/>
      <c r="S59" s="89"/>
      <c r="T59" s="4"/>
      <c r="U59" s="2"/>
      <c r="V59" s="95"/>
      <c r="W59" s="96"/>
      <c r="X59" s="96"/>
      <c r="Y59" s="96"/>
      <c r="Z59" s="96"/>
      <c r="AA59" s="96"/>
      <c r="AB59" s="96"/>
      <c r="AC59" s="97"/>
      <c r="AD59" s="11"/>
      <c r="AE59" s="3"/>
    </row>
    <row r="60" spans="1:31" ht="12" customHeight="1" x14ac:dyDescent="0.2">
      <c r="A60" s="9"/>
      <c r="B60" s="46" t="s">
        <v>37</v>
      </c>
      <c r="C60" s="46"/>
      <c r="D60" s="46"/>
      <c r="E60" s="46"/>
      <c r="F60" s="46"/>
      <c r="G60" s="46"/>
      <c r="H60" s="46"/>
      <c r="I60" s="46"/>
      <c r="J60" s="11"/>
      <c r="K60" s="2"/>
      <c r="L60" s="87"/>
      <c r="M60" s="88"/>
      <c r="N60" s="88"/>
      <c r="O60" s="88"/>
      <c r="P60" s="88"/>
      <c r="Q60" s="88"/>
      <c r="R60" s="88"/>
      <c r="S60" s="89"/>
      <c r="T60" s="4"/>
      <c r="U60" s="2"/>
      <c r="V60" s="95"/>
      <c r="W60" s="96"/>
      <c r="X60" s="96"/>
      <c r="Y60" s="96"/>
      <c r="Z60" s="96"/>
      <c r="AA60" s="96"/>
      <c r="AB60" s="96"/>
      <c r="AC60" s="97"/>
      <c r="AD60" s="11"/>
      <c r="AE60" s="3"/>
    </row>
    <row r="61" spans="1:31" ht="12" customHeight="1" x14ac:dyDescent="0.2">
      <c r="A61" s="9"/>
      <c r="B61" s="93"/>
      <c r="C61" s="94"/>
      <c r="D61" s="94"/>
      <c r="E61" s="94"/>
      <c r="F61" s="94"/>
      <c r="G61" s="94"/>
      <c r="H61" s="94"/>
      <c r="I61" s="94"/>
      <c r="J61" s="11"/>
      <c r="K61" s="2"/>
      <c r="L61" s="87"/>
      <c r="M61" s="88"/>
      <c r="N61" s="88"/>
      <c r="O61" s="88"/>
      <c r="P61" s="88"/>
      <c r="Q61" s="88"/>
      <c r="R61" s="88"/>
      <c r="S61" s="89"/>
      <c r="T61" s="4"/>
      <c r="U61" s="2"/>
      <c r="V61" s="95"/>
      <c r="W61" s="96"/>
      <c r="X61" s="96"/>
      <c r="Y61" s="96"/>
      <c r="Z61" s="96"/>
      <c r="AA61" s="96"/>
      <c r="AB61" s="96"/>
      <c r="AC61" s="97"/>
      <c r="AD61" s="11"/>
      <c r="AE61" s="3"/>
    </row>
    <row r="62" spans="1:31" ht="12" customHeight="1" x14ac:dyDescent="0.2">
      <c r="A62" s="9"/>
      <c r="B62" s="45"/>
      <c r="C62" s="45"/>
      <c r="D62" s="45"/>
      <c r="E62" s="45"/>
      <c r="F62" s="45"/>
      <c r="G62" s="45"/>
      <c r="H62" s="45"/>
      <c r="I62" s="45"/>
      <c r="J62" s="11"/>
      <c r="K62" s="2"/>
      <c r="L62" s="87"/>
      <c r="M62" s="88"/>
      <c r="N62" s="88"/>
      <c r="O62" s="88"/>
      <c r="P62" s="88"/>
      <c r="Q62" s="88"/>
      <c r="R62" s="88"/>
      <c r="S62" s="89"/>
      <c r="T62" s="4"/>
      <c r="U62" s="2"/>
      <c r="V62" s="95"/>
      <c r="W62" s="96"/>
      <c r="X62" s="96"/>
      <c r="Y62" s="96"/>
      <c r="Z62" s="96"/>
      <c r="AA62" s="96"/>
      <c r="AB62" s="96"/>
      <c r="AC62" s="97"/>
      <c r="AD62" s="11"/>
      <c r="AE62" s="3"/>
    </row>
    <row r="63" spans="1:31" ht="12" customHeight="1" x14ac:dyDescent="0.2">
      <c r="A63" s="9"/>
      <c r="B63" s="46" t="s">
        <v>40</v>
      </c>
      <c r="C63" s="45"/>
      <c r="D63" s="45"/>
      <c r="E63" s="45"/>
      <c r="F63" s="45"/>
      <c r="G63" s="45"/>
      <c r="H63" s="45"/>
      <c r="I63" s="45"/>
      <c r="J63" s="11"/>
      <c r="K63" s="2"/>
      <c r="L63" s="87"/>
      <c r="M63" s="88"/>
      <c r="N63" s="88"/>
      <c r="O63" s="88"/>
      <c r="P63" s="88"/>
      <c r="Q63" s="88"/>
      <c r="R63" s="88"/>
      <c r="S63" s="89"/>
      <c r="T63" s="4"/>
      <c r="U63" s="2"/>
      <c r="V63" s="95"/>
      <c r="W63" s="96"/>
      <c r="X63" s="96"/>
      <c r="Y63" s="96"/>
      <c r="Z63" s="96"/>
      <c r="AA63" s="96"/>
      <c r="AB63" s="96"/>
      <c r="AC63" s="97"/>
      <c r="AD63" s="11"/>
      <c r="AE63" s="3"/>
    </row>
    <row r="64" spans="1:31" ht="12" customHeight="1" thickBot="1" x14ac:dyDescent="0.25">
      <c r="A64" s="9"/>
      <c r="B64" s="113"/>
      <c r="C64" s="114"/>
      <c r="D64" s="114"/>
      <c r="E64" s="114"/>
      <c r="F64" s="114"/>
      <c r="G64" s="114"/>
      <c r="H64" s="114"/>
      <c r="I64" s="114"/>
      <c r="J64" s="11"/>
      <c r="K64" s="2"/>
      <c r="L64" s="87"/>
      <c r="M64" s="88"/>
      <c r="N64" s="88"/>
      <c r="O64" s="88"/>
      <c r="P64" s="88"/>
      <c r="Q64" s="88"/>
      <c r="R64" s="88"/>
      <c r="S64" s="89"/>
      <c r="T64" s="4"/>
      <c r="U64" s="2"/>
      <c r="V64" s="95"/>
      <c r="W64" s="96"/>
      <c r="X64" s="96"/>
      <c r="Y64" s="96"/>
      <c r="Z64" s="96"/>
      <c r="AA64" s="96"/>
      <c r="AB64" s="96"/>
      <c r="AC64" s="97"/>
      <c r="AD64" s="11"/>
      <c r="AE64" s="3"/>
    </row>
    <row r="65" spans="1:31" ht="12" customHeight="1" x14ac:dyDescent="0.2">
      <c r="A65" s="13"/>
      <c r="B65" s="14"/>
      <c r="C65" s="14"/>
      <c r="D65" s="14"/>
      <c r="E65" s="14"/>
      <c r="F65" s="14"/>
      <c r="G65" s="14"/>
      <c r="H65" s="14"/>
      <c r="I65" s="14"/>
      <c r="J65" s="15"/>
      <c r="K65" s="13"/>
      <c r="L65" s="14"/>
      <c r="M65" s="14"/>
      <c r="N65" s="14"/>
      <c r="O65" s="14"/>
      <c r="P65" s="14"/>
      <c r="Q65" s="14"/>
      <c r="R65" s="14"/>
      <c r="S65" s="14"/>
      <c r="T65" s="15"/>
      <c r="U65" s="13"/>
      <c r="V65" s="14"/>
      <c r="W65" s="14"/>
      <c r="X65" s="14"/>
      <c r="Y65" s="14"/>
      <c r="Z65" s="14"/>
      <c r="AA65" s="14"/>
      <c r="AB65" s="14"/>
      <c r="AC65" s="14"/>
      <c r="AD65" s="15"/>
      <c r="AE65" s="3"/>
    </row>
    <row r="66" spans="1:31" ht="12" customHeight="1" x14ac:dyDescent="0.2">
      <c r="A66" s="9"/>
      <c r="B66" s="10" t="s">
        <v>20</v>
      </c>
      <c r="C66" s="111" t="s">
        <v>214</v>
      </c>
      <c r="D66" s="112"/>
      <c r="E66" s="112"/>
      <c r="F66" s="30"/>
      <c r="G66" s="43" t="s">
        <v>23</v>
      </c>
      <c r="H66" s="110" t="s">
        <v>22</v>
      </c>
      <c r="I66" s="110"/>
      <c r="J66" s="11"/>
      <c r="K66" s="9"/>
      <c r="L66" s="10" t="s">
        <v>20</v>
      </c>
      <c r="M66" s="115" t="str">
        <f>Verantwortlicher</f>
        <v>Selecione...</v>
      </c>
      <c r="N66" s="115"/>
      <c r="O66" s="115"/>
      <c r="P66" s="30"/>
      <c r="Q66" s="43" t="s">
        <v>23</v>
      </c>
      <c r="R66" s="110" t="s">
        <v>22</v>
      </c>
      <c r="S66" s="110"/>
      <c r="T66" s="11"/>
      <c r="U66" s="9"/>
      <c r="V66" s="10" t="s">
        <v>20</v>
      </c>
      <c r="W66" s="115" t="str">
        <f>Verantwortlicher</f>
        <v>Selecione...</v>
      </c>
      <c r="X66" s="115"/>
      <c r="Y66" s="115"/>
      <c r="Z66" s="30"/>
      <c r="AA66" s="43" t="s">
        <v>23</v>
      </c>
      <c r="AB66" s="110" t="s">
        <v>22</v>
      </c>
      <c r="AC66" s="110"/>
      <c r="AD66" s="11"/>
      <c r="AE66" s="3"/>
    </row>
    <row r="67" spans="1:31" x14ac:dyDescent="0.2">
      <c r="A67" s="9"/>
      <c r="B67" s="41"/>
      <c r="C67" s="19"/>
      <c r="D67" s="19"/>
      <c r="E67" s="19"/>
      <c r="F67" s="41"/>
      <c r="G67" s="41"/>
      <c r="H67" s="19"/>
      <c r="I67" s="19"/>
      <c r="J67" s="11"/>
      <c r="K67" s="9"/>
      <c r="L67" s="41"/>
      <c r="M67" s="19"/>
      <c r="N67" s="19"/>
      <c r="O67" s="19"/>
      <c r="P67" s="41"/>
      <c r="Q67" s="41"/>
      <c r="R67" s="19"/>
      <c r="S67" s="19"/>
      <c r="T67" s="11"/>
      <c r="U67" s="9"/>
      <c r="V67" s="41"/>
      <c r="W67" s="19"/>
      <c r="X67" s="19"/>
      <c r="Y67" s="19"/>
      <c r="Z67" s="41"/>
      <c r="AA67" s="41"/>
      <c r="AB67" s="19"/>
      <c r="AC67" s="19"/>
      <c r="AD67" s="11"/>
      <c r="AE67" s="3"/>
    </row>
    <row r="68" spans="1:31" x14ac:dyDescent="0.2">
      <c r="A68" s="9"/>
      <c r="B68" s="10" t="s">
        <v>21</v>
      </c>
      <c r="C68" s="108" t="e">
        <f>VLOOKUP(Verantwortlicher,'Folha de apoio'!I2:J22,2,FALSE)</f>
        <v>#N/A</v>
      </c>
      <c r="D68" s="108"/>
      <c r="E68" s="108"/>
      <c r="F68" s="109" t="s">
        <v>86</v>
      </c>
      <c r="G68" s="109"/>
      <c r="H68" s="110" t="s">
        <v>38</v>
      </c>
      <c r="I68" s="110"/>
      <c r="J68" s="11"/>
      <c r="K68" s="9"/>
      <c r="L68" s="10" t="s">
        <v>21</v>
      </c>
      <c r="M68" s="108" t="e">
        <f>VerantwortlicherTelefon</f>
        <v>#N/A</v>
      </c>
      <c r="N68" s="108"/>
      <c r="O68" s="108"/>
      <c r="P68" s="109" t="s">
        <v>86</v>
      </c>
      <c r="Q68" s="109"/>
      <c r="R68" s="110" t="s">
        <v>38</v>
      </c>
      <c r="S68" s="110"/>
      <c r="T68" s="11"/>
      <c r="U68" s="9"/>
      <c r="V68" s="10" t="s">
        <v>21</v>
      </c>
      <c r="W68" s="108" t="e">
        <f>VerantwortlicherTelefon</f>
        <v>#N/A</v>
      </c>
      <c r="X68" s="108"/>
      <c r="Y68" s="108"/>
      <c r="Z68" s="109" t="s">
        <v>86</v>
      </c>
      <c r="AA68" s="109"/>
      <c r="AB68" s="110" t="s">
        <v>38</v>
      </c>
      <c r="AC68" s="110"/>
      <c r="AD68" s="11"/>
      <c r="AE68" s="3"/>
    </row>
    <row r="69" spans="1:31" ht="13.5" thickBot="1" x14ac:dyDescent="0.25">
      <c r="A69" s="16"/>
      <c r="B69" s="17"/>
      <c r="C69" s="17"/>
      <c r="D69" s="17"/>
      <c r="E69" s="17"/>
      <c r="F69" s="17"/>
      <c r="G69" s="17"/>
      <c r="H69" s="17"/>
      <c r="I69" s="17"/>
      <c r="J69" s="18"/>
      <c r="K69" s="16"/>
      <c r="L69" s="17"/>
      <c r="M69" s="17"/>
      <c r="N69" s="17"/>
      <c r="O69" s="17"/>
      <c r="P69" s="17"/>
      <c r="Q69" s="17"/>
      <c r="R69" s="17"/>
      <c r="S69" s="17"/>
      <c r="T69" s="18"/>
      <c r="U69" s="16"/>
      <c r="V69" s="17"/>
      <c r="W69" s="17"/>
      <c r="X69" s="17"/>
      <c r="Y69" s="17"/>
      <c r="Z69" s="17"/>
      <c r="AA69" s="17"/>
      <c r="AB69" s="17"/>
      <c r="AC69" s="17"/>
      <c r="AD69" s="18"/>
      <c r="AE69" s="3"/>
    </row>
    <row r="75" spans="1:31" ht="12.75" customHeight="1" x14ac:dyDescent="0.2"/>
    <row r="76" spans="1:31" ht="12.75" customHeight="1" x14ac:dyDescent="0.2"/>
    <row r="77" spans="1:31" ht="13.5" customHeight="1" x14ac:dyDescent="0.2"/>
    <row r="84" spans="2:12" x14ac:dyDescent="0.2">
      <c r="L84" s="1"/>
    </row>
    <row r="85" spans="2:12" x14ac:dyDescent="0.2">
      <c r="L85" s="1"/>
    </row>
    <row r="86" spans="2:12" x14ac:dyDescent="0.2">
      <c r="L86" s="1"/>
    </row>
    <row r="87" spans="2:12" x14ac:dyDescent="0.2">
      <c r="L87" s="1"/>
    </row>
    <row r="88" spans="2:12" x14ac:dyDescent="0.2">
      <c r="L88" s="1"/>
    </row>
    <row r="89" spans="2:12" x14ac:dyDescent="0.2">
      <c r="L89" s="1"/>
    </row>
    <row r="90" spans="2:12" x14ac:dyDescent="0.2">
      <c r="L90" s="1"/>
    </row>
    <row r="91" spans="2:12" x14ac:dyDescent="0.2">
      <c r="L91" s="1"/>
    </row>
    <row r="92" spans="2:12" x14ac:dyDescent="0.2">
      <c r="L92" s="1"/>
    </row>
    <row r="93" spans="2:12" x14ac:dyDescent="0.2">
      <c r="L93" s="1"/>
    </row>
    <row r="94" spans="2:12" x14ac:dyDescent="0.2">
      <c r="L94" s="1"/>
    </row>
    <row r="95" spans="2:12" x14ac:dyDescent="0.2">
      <c r="B95" s="66">
        <v>1</v>
      </c>
      <c r="L95" s="1"/>
    </row>
    <row r="96" spans="2:12" ht="30" x14ac:dyDescent="0.2">
      <c r="B96" s="66">
        <v>2</v>
      </c>
      <c r="D96" s="65"/>
      <c r="L96" s="1"/>
    </row>
    <row r="97" spans="2:12" x14ac:dyDescent="0.2">
      <c r="B97" s="66">
        <v>3</v>
      </c>
      <c r="L97" s="1"/>
    </row>
    <row r="98" spans="2:12" x14ac:dyDescent="0.2">
      <c r="L98" s="1"/>
    </row>
    <row r="99" spans="2:12" x14ac:dyDescent="0.2">
      <c r="L99" s="1"/>
    </row>
    <row r="100" spans="2:12" x14ac:dyDescent="0.2">
      <c r="L100" s="1"/>
    </row>
    <row r="101" spans="2:12" x14ac:dyDescent="0.2">
      <c r="L101" s="1"/>
    </row>
    <row r="102" spans="2:12" x14ac:dyDescent="0.2">
      <c r="L102" s="1"/>
    </row>
    <row r="103" spans="2:12" x14ac:dyDescent="0.2">
      <c r="L103" s="1"/>
    </row>
    <row r="104" spans="2:12" x14ac:dyDescent="0.2">
      <c r="L104" s="1"/>
    </row>
    <row r="105" spans="2:12" x14ac:dyDescent="0.2">
      <c r="L105" s="1"/>
    </row>
    <row r="106" spans="2:12" x14ac:dyDescent="0.2">
      <c r="L106" s="1"/>
    </row>
    <row r="107" spans="2:12" x14ac:dyDescent="0.2">
      <c r="L107" s="1"/>
    </row>
    <row r="108" spans="2:12" x14ac:dyDescent="0.2">
      <c r="L108" s="1"/>
    </row>
    <row r="109" spans="2:12" x14ac:dyDescent="0.2">
      <c r="L109" s="1"/>
    </row>
    <row r="110" spans="2:12" x14ac:dyDescent="0.2">
      <c r="L110" s="1"/>
    </row>
    <row r="111" spans="2:12" x14ac:dyDescent="0.2">
      <c r="L111" s="1"/>
    </row>
    <row r="112" spans="2:12" x14ac:dyDescent="0.2">
      <c r="L112" s="1"/>
    </row>
    <row r="113" spans="12:12" x14ac:dyDescent="0.2">
      <c r="L113" s="1"/>
    </row>
    <row r="114" spans="12:12" x14ac:dyDescent="0.2">
      <c r="L114" s="1"/>
    </row>
    <row r="115" spans="12:12" x14ac:dyDescent="0.2">
      <c r="L115" s="1"/>
    </row>
    <row r="116" spans="12:12" x14ac:dyDescent="0.2">
      <c r="L116" s="1"/>
    </row>
    <row r="117" spans="12:12" x14ac:dyDescent="0.2">
      <c r="L117" s="1"/>
    </row>
    <row r="118" spans="12:12" x14ac:dyDescent="0.2">
      <c r="L118" s="1"/>
    </row>
    <row r="119" spans="12:12" x14ac:dyDescent="0.2">
      <c r="L119" s="1"/>
    </row>
    <row r="120" spans="12:12" x14ac:dyDescent="0.2">
      <c r="L120" s="1"/>
    </row>
    <row r="121" spans="12:12" x14ac:dyDescent="0.2">
      <c r="L121" s="1"/>
    </row>
    <row r="122" spans="12:12" x14ac:dyDescent="0.2">
      <c r="L122" s="1"/>
    </row>
    <row r="123" spans="12:12" x14ac:dyDescent="0.2">
      <c r="L123" s="1"/>
    </row>
    <row r="124" spans="12:12" x14ac:dyDescent="0.2">
      <c r="L124" s="1"/>
    </row>
    <row r="125" spans="12:12" x14ac:dyDescent="0.2">
      <c r="L125" s="1"/>
    </row>
    <row r="126" spans="12:12" x14ac:dyDescent="0.2">
      <c r="L126" s="1"/>
    </row>
    <row r="127" spans="12:12" x14ac:dyDescent="0.2">
      <c r="L127" s="1"/>
    </row>
    <row r="128" spans="12:12" x14ac:dyDescent="0.2">
      <c r="L128" s="1"/>
    </row>
    <row r="129" spans="12:12" x14ac:dyDescent="0.2">
      <c r="L129" s="1"/>
    </row>
    <row r="130" spans="12:12" x14ac:dyDescent="0.2">
      <c r="L130" s="1"/>
    </row>
    <row r="131" spans="12:12" x14ac:dyDescent="0.2">
      <c r="L131" s="1"/>
    </row>
    <row r="132" spans="12:12" x14ac:dyDescent="0.2">
      <c r="L132" s="1"/>
    </row>
    <row r="133" spans="12:12" x14ac:dyDescent="0.2">
      <c r="L133" s="1"/>
    </row>
    <row r="134" spans="12:12" x14ac:dyDescent="0.2">
      <c r="L134" s="1"/>
    </row>
    <row r="135" spans="12:12" x14ac:dyDescent="0.2">
      <c r="L135" s="1"/>
    </row>
    <row r="136" spans="12:12" x14ac:dyDescent="0.2">
      <c r="L136" s="1"/>
    </row>
    <row r="137" spans="12:12" x14ac:dyDescent="0.2">
      <c r="L137" s="1"/>
    </row>
    <row r="138" spans="12:12" x14ac:dyDescent="0.2">
      <c r="L138" s="1"/>
    </row>
    <row r="139" spans="12:12" x14ac:dyDescent="0.2">
      <c r="L139" s="1"/>
    </row>
    <row r="140" spans="12:12" x14ac:dyDescent="0.2">
      <c r="L140" s="1"/>
    </row>
    <row r="141" spans="12:12" x14ac:dyDescent="0.2">
      <c r="L141" s="1"/>
    </row>
    <row r="142" spans="12:12" x14ac:dyDescent="0.2">
      <c r="L142" s="1"/>
    </row>
    <row r="143" spans="12:12" x14ac:dyDescent="0.2">
      <c r="L143" s="1"/>
    </row>
  </sheetData>
  <sheetProtection sheet="1" scenarios="1" selectLockedCells="1"/>
  <dataConsolidate/>
  <mergeCells count="203">
    <mergeCell ref="V59:AC59"/>
    <mergeCell ref="V60:AC60"/>
    <mergeCell ref="V61:AC61"/>
    <mergeCell ref="V62:AC62"/>
    <mergeCell ref="V63:AC63"/>
    <mergeCell ref="V64:AC64"/>
    <mergeCell ref="AB1:AD1"/>
    <mergeCell ref="AB2:AD2"/>
    <mergeCell ref="AB3:AD3"/>
    <mergeCell ref="V50:AC50"/>
    <mergeCell ref="V51:AC51"/>
    <mergeCell ref="V52:AC52"/>
    <mergeCell ref="V53:AC53"/>
    <mergeCell ref="V54:AC54"/>
    <mergeCell ref="V55:AC55"/>
    <mergeCell ref="V56:AC56"/>
    <mergeCell ref="V57:AC57"/>
    <mergeCell ref="V58:AC58"/>
    <mergeCell ref="V41:AC41"/>
    <mergeCell ref="V42:AC42"/>
    <mergeCell ref="V43:AC43"/>
    <mergeCell ref="V44:AC44"/>
    <mergeCell ref="V45:AC45"/>
    <mergeCell ref="V46:AC46"/>
    <mergeCell ref="V48:AC48"/>
    <mergeCell ref="V49:AC49"/>
    <mergeCell ref="V32:AC32"/>
    <mergeCell ref="V33:AC33"/>
    <mergeCell ref="V34:AC34"/>
    <mergeCell ref="V35:AC35"/>
    <mergeCell ref="V36:AC36"/>
    <mergeCell ref="V37:AC37"/>
    <mergeCell ref="V38:AC38"/>
    <mergeCell ref="V39:AC39"/>
    <mergeCell ref="V40:AC40"/>
    <mergeCell ref="V24:AC24"/>
    <mergeCell ref="V25:AC25"/>
    <mergeCell ref="V26:AC26"/>
    <mergeCell ref="V27:AC27"/>
    <mergeCell ref="V28:AC28"/>
    <mergeCell ref="V29:AC29"/>
    <mergeCell ref="V30:AC30"/>
    <mergeCell ref="V31:AC31"/>
    <mergeCell ref="V47:AC47"/>
    <mergeCell ref="W66:Y66"/>
    <mergeCell ref="AB66:AC66"/>
    <mergeCell ref="W68:Y68"/>
    <mergeCell ref="Z68:AA68"/>
    <mergeCell ref="AB68:AC68"/>
    <mergeCell ref="U1:V3"/>
    <mergeCell ref="W5:X5"/>
    <mergeCell ref="W1:AA3"/>
    <mergeCell ref="V8:AC8"/>
    <mergeCell ref="V9:AC9"/>
    <mergeCell ref="V10:AC10"/>
    <mergeCell ref="V11:AC11"/>
    <mergeCell ref="V12:AC12"/>
    <mergeCell ref="V13:AC13"/>
    <mergeCell ref="V14:AC14"/>
    <mergeCell ref="V15:AC15"/>
    <mergeCell ref="V16:AC16"/>
    <mergeCell ref="V17:AC17"/>
    <mergeCell ref="V18:AC18"/>
    <mergeCell ref="V19:AC19"/>
    <mergeCell ref="V20:AC20"/>
    <mergeCell ref="V21:AC21"/>
    <mergeCell ref="V22:AC22"/>
    <mergeCell ref="V23:AC23"/>
    <mergeCell ref="M5:N5"/>
    <mergeCell ref="B29:I29"/>
    <mergeCell ref="B37:I37"/>
    <mergeCell ref="B33:I33"/>
    <mergeCell ref="B39:I39"/>
    <mergeCell ref="B34:I34"/>
    <mergeCell ref="B30:I30"/>
    <mergeCell ref="B31:I31"/>
    <mergeCell ref="B35:I35"/>
    <mergeCell ref="G12:H12"/>
    <mergeCell ref="C12:F12"/>
    <mergeCell ref="L13:S13"/>
    <mergeCell ref="L14:S14"/>
    <mergeCell ref="B25:I25"/>
    <mergeCell ref="B22:I22"/>
    <mergeCell ref="B23:I23"/>
    <mergeCell ref="B26:I26"/>
    <mergeCell ref="G14:H14"/>
    <mergeCell ref="C14:F14"/>
    <mergeCell ref="G13:H13"/>
    <mergeCell ref="C13:F13"/>
    <mergeCell ref="C17:H18"/>
    <mergeCell ref="B32:I32"/>
    <mergeCell ref="B43:I43"/>
    <mergeCell ref="B42:I42"/>
    <mergeCell ref="B40:I40"/>
    <mergeCell ref="A1:B3"/>
    <mergeCell ref="C1:G3"/>
    <mergeCell ref="H1:J1"/>
    <mergeCell ref="H2:J2"/>
    <mergeCell ref="H3:J3"/>
    <mergeCell ref="C7:D7"/>
    <mergeCell ref="F7:G7"/>
    <mergeCell ref="H7:I7"/>
    <mergeCell ref="H8:I8"/>
    <mergeCell ref="C11:D11"/>
    <mergeCell ref="L35:S35"/>
    <mergeCell ref="L37:S37"/>
    <mergeCell ref="L28:S28"/>
    <mergeCell ref="L17:S17"/>
    <mergeCell ref="B55:I55"/>
    <mergeCell ref="B58:I58"/>
    <mergeCell ref="B61:I61"/>
    <mergeCell ref="B28:I28"/>
    <mergeCell ref="L53:S53"/>
    <mergeCell ref="L57:S57"/>
    <mergeCell ref="L49:S49"/>
    <mergeCell ref="L50:S50"/>
    <mergeCell ref="L41:S41"/>
    <mergeCell ref="L42:S42"/>
    <mergeCell ref="B46:I46"/>
    <mergeCell ref="B50:I50"/>
    <mergeCell ref="L54:S54"/>
    <mergeCell ref="L55:S55"/>
    <mergeCell ref="L56:S56"/>
    <mergeCell ref="L46:S46"/>
    <mergeCell ref="L47:S47"/>
    <mergeCell ref="L48:S48"/>
    <mergeCell ref="B36:I36"/>
    <mergeCell ref="B38:I38"/>
    <mergeCell ref="L16:S16"/>
    <mergeCell ref="L29:S29"/>
    <mergeCell ref="L30:S30"/>
    <mergeCell ref="L21:S21"/>
    <mergeCell ref="L22:S22"/>
    <mergeCell ref="L23:S23"/>
    <mergeCell ref="L24:S24"/>
    <mergeCell ref="L25:S25"/>
    <mergeCell ref="L34:S34"/>
    <mergeCell ref="B44:I44"/>
    <mergeCell ref="B45:I45"/>
    <mergeCell ref="K1:L3"/>
    <mergeCell ref="M1:Q3"/>
    <mergeCell ref="R1:T1"/>
    <mergeCell ref="R2:T2"/>
    <mergeCell ref="R3:T3"/>
    <mergeCell ref="H5:I5"/>
    <mergeCell ref="F5:G5"/>
    <mergeCell ref="C5:D5"/>
    <mergeCell ref="L40:S40"/>
    <mergeCell ref="L31:S31"/>
    <mergeCell ref="L8:S8"/>
    <mergeCell ref="L9:S9"/>
    <mergeCell ref="H9:I9"/>
    <mergeCell ref="C9:D9"/>
    <mergeCell ref="F9:G9"/>
    <mergeCell ref="G16:H16"/>
    <mergeCell ref="L15:S15"/>
    <mergeCell ref="L32:S32"/>
    <mergeCell ref="L33:S33"/>
    <mergeCell ref="L44:S44"/>
    <mergeCell ref="L45:S45"/>
    <mergeCell ref="L36:S36"/>
    <mergeCell ref="M68:O68"/>
    <mergeCell ref="P68:Q68"/>
    <mergeCell ref="R68:S68"/>
    <mergeCell ref="H68:I68"/>
    <mergeCell ref="F68:G68"/>
    <mergeCell ref="C68:E68"/>
    <mergeCell ref="H66:I66"/>
    <mergeCell ref="C66:E66"/>
    <mergeCell ref="L58:S58"/>
    <mergeCell ref="L64:S64"/>
    <mergeCell ref="L59:S59"/>
    <mergeCell ref="L60:S60"/>
    <mergeCell ref="L61:S61"/>
    <mergeCell ref="L62:S62"/>
    <mergeCell ref="L63:S63"/>
    <mergeCell ref="B64:I64"/>
    <mergeCell ref="M66:O66"/>
    <mergeCell ref="R66:S66"/>
    <mergeCell ref="L51:S51"/>
    <mergeCell ref="L52:S52"/>
    <mergeCell ref="B41:I41"/>
    <mergeCell ref="L43:S43"/>
    <mergeCell ref="B52:I52"/>
    <mergeCell ref="L10:S10"/>
    <mergeCell ref="L11:S11"/>
    <mergeCell ref="G15:H15"/>
    <mergeCell ref="C15:F15"/>
    <mergeCell ref="B47:I47"/>
    <mergeCell ref="B48:I48"/>
    <mergeCell ref="B49:I49"/>
    <mergeCell ref="L39:S39"/>
    <mergeCell ref="L18:S18"/>
    <mergeCell ref="L19:S19"/>
    <mergeCell ref="L20:S20"/>
    <mergeCell ref="L26:S26"/>
    <mergeCell ref="L27:S27"/>
    <mergeCell ref="C16:F16"/>
    <mergeCell ref="B24:I24"/>
    <mergeCell ref="B21:I21"/>
    <mergeCell ref="B27:I27"/>
    <mergeCell ref="L12:S12"/>
    <mergeCell ref="L38:S38"/>
  </mergeCells>
  <phoneticPr fontId="4" type="noConversion"/>
  <conditionalFormatting sqref="F67:G67 M66 M68 I67">
    <cfRule type="expression" dxfId="30" priority="126" stopIfTrue="1">
      <formula>IF($C$66="Name",FALSE,TRUE)</formula>
    </cfRule>
  </conditionalFormatting>
  <conditionalFormatting sqref="C5 E5:F5 H5">
    <cfRule type="cellIs" dxfId="29" priority="117" stopIfTrue="1" operator="notEqual">
      <formula>"Projekt"</formula>
    </cfRule>
  </conditionalFormatting>
  <conditionalFormatting sqref="H8:I8">
    <cfRule type="cellIs" dxfId="28" priority="119" stopIfTrue="1" operator="notEqual">
      <formula>"00.00.0000"</formula>
    </cfRule>
  </conditionalFormatting>
  <conditionalFormatting sqref="C8:G8 E7 C7">
    <cfRule type="expression" dxfId="27" priority="147" stopIfTrue="1">
      <formula>IF(#REF!,TRUE,FALSE)</formula>
    </cfRule>
  </conditionalFormatting>
  <conditionalFormatting sqref="E6:F6">
    <cfRule type="expression" dxfId="26" priority="150" stopIfTrue="1">
      <formula>IF(#REF!,TRUE,FALSE)</formula>
    </cfRule>
  </conditionalFormatting>
  <conditionalFormatting sqref="H6:I6">
    <cfRule type="cellIs" dxfId="25" priority="109" stopIfTrue="1" operator="notEqual">
      <formula>"00.00.0000"</formula>
    </cfRule>
  </conditionalFormatting>
  <conditionalFormatting sqref="E9">
    <cfRule type="expression" dxfId="24" priority="108" stopIfTrue="1">
      <formula>IF(#REF!=0,FALSE,TRUE)</formula>
    </cfRule>
  </conditionalFormatting>
  <conditionalFormatting sqref="B67">
    <cfRule type="expression" dxfId="23" priority="100" stopIfTrue="1">
      <formula>IF($C$66="Name",FALSE,TRUE)</formula>
    </cfRule>
  </conditionalFormatting>
  <conditionalFormatting sqref="D67">
    <cfRule type="expression" dxfId="22" priority="99" stopIfTrue="1">
      <formula>IF($C$66="Name",FALSE,TRUE)</formula>
    </cfRule>
  </conditionalFormatting>
  <conditionalFormatting sqref="C67">
    <cfRule type="expression" dxfId="21" priority="98" stopIfTrue="1">
      <formula>IF($C$66="Name",FALSE,TRUE)</formula>
    </cfRule>
  </conditionalFormatting>
  <conditionalFormatting sqref="E67">
    <cfRule type="expression" dxfId="20" priority="97" stopIfTrue="1">
      <formula>IF($C$66="Name",FALSE,TRUE)</formula>
    </cfRule>
  </conditionalFormatting>
  <conditionalFormatting sqref="G13">
    <cfRule type="cellIs" priority="54" stopIfTrue="1" operator="equal">
      <formula>"Datenfreigabe ..."</formula>
    </cfRule>
  </conditionalFormatting>
  <conditionalFormatting sqref="C13">
    <cfRule type="cellIs" priority="53" stopIfTrue="1" operator="equal">
      <formula>"Datenfreigabe ..."</formula>
    </cfRule>
  </conditionalFormatting>
  <conditionalFormatting sqref="C14">
    <cfRule type="cellIs" priority="52" stopIfTrue="1" operator="equal">
      <formula>"Datenfreigabe ..."</formula>
    </cfRule>
  </conditionalFormatting>
  <conditionalFormatting sqref="G14">
    <cfRule type="cellIs" priority="51" stopIfTrue="1" operator="equal">
      <formula>"Datenfreigabe ..."</formula>
    </cfRule>
  </conditionalFormatting>
  <conditionalFormatting sqref="G12">
    <cfRule type="cellIs" priority="50" stopIfTrue="1" operator="equal">
      <formula>"Datenfreigabe ..."</formula>
    </cfRule>
  </conditionalFormatting>
  <conditionalFormatting sqref="C12">
    <cfRule type="cellIs" priority="49" stopIfTrue="1" operator="equal">
      <formula>"Datenfreigabe ..."</formula>
    </cfRule>
  </conditionalFormatting>
  <conditionalFormatting sqref="P67:S67">
    <cfRule type="expression" dxfId="19" priority="48" stopIfTrue="1">
      <formula>IF($C$66="Name",FALSE,TRUE)</formula>
    </cfRule>
  </conditionalFormatting>
  <conditionalFormatting sqref="R66">
    <cfRule type="expression" dxfId="18" priority="47" stopIfTrue="1">
      <formula>IF($C$66="Name",FALSE,TRUE)</formula>
    </cfRule>
  </conditionalFormatting>
  <conditionalFormatting sqref="L67">
    <cfRule type="expression" dxfId="17" priority="46" stopIfTrue="1">
      <formula>IF($C$66="Name",FALSE,TRUE)</formula>
    </cfRule>
  </conditionalFormatting>
  <conditionalFormatting sqref="N67">
    <cfRule type="expression" dxfId="16" priority="45" stopIfTrue="1">
      <formula>IF($C$66="Name",FALSE,TRUE)</formula>
    </cfRule>
  </conditionalFormatting>
  <conditionalFormatting sqref="M67">
    <cfRule type="expression" dxfId="15" priority="44" stopIfTrue="1">
      <formula>IF($C$66="Name",FALSE,TRUE)</formula>
    </cfRule>
  </conditionalFormatting>
  <conditionalFormatting sqref="O67">
    <cfRule type="expression" dxfId="14" priority="43" stopIfTrue="1">
      <formula>IF($C$66="Name",FALSE,TRUE)</formula>
    </cfRule>
  </conditionalFormatting>
  <conditionalFormatting sqref="R68">
    <cfRule type="expression" dxfId="13" priority="42" stopIfTrue="1">
      <formula>IF($C$66="Name",FALSE,TRUE)</formula>
    </cfRule>
  </conditionalFormatting>
  <conditionalFormatting sqref="G16">
    <cfRule type="cellIs" priority="41" stopIfTrue="1" operator="equal">
      <formula>"Datenfreigabe ..."</formula>
    </cfRule>
  </conditionalFormatting>
  <conditionalFormatting sqref="C16">
    <cfRule type="cellIs" priority="40" stopIfTrue="1" operator="equal">
      <formula>"Datenfreigabe ..."</formula>
    </cfRule>
  </conditionalFormatting>
  <conditionalFormatting sqref="C17">
    <cfRule type="cellIs" priority="39" stopIfTrue="1" operator="equal">
      <formula>"Datenfreigabe ..."</formula>
    </cfRule>
  </conditionalFormatting>
  <conditionalFormatting sqref="G15">
    <cfRule type="cellIs" priority="37" stopIfTrue="1" operator="equal">
      <formula>"Datenfreigabe ..."</formula>
    </cfRule>
  </conditionalFormatting>
  <conditionalFormatting sqref="C15">
    <cfRule type="cellIs" priority="36" stopIfTrue="1" operator="equal">
      <formula>"Datenfreigabe ..."</formula>
    </cfRule>
  </conditionalFormatting>
  <conditionalFormatting sqref="G15">
    <cfRule type="cellIs" priority="35" stopIfTrue="1" operator="equal">
      <formula>"Datenfreigabe ..."</formula>
    </cfRule>
  </conditionalFormatting>
  <conditionalFormatting sqref="C15">
    <cfRule type="cellIs" priority="34" stopIfTrue="1" operator="equal">
      <formula>"Datenfreigabe ..."</formula>
    </cfRule>
  </conditionalFormatting>
  <conditionalFormatting sqref="C16">
    <cfRule type="cellIs" priority="33" stopIfTrue="1" operator="equal">
      <formula>"Datenfreigabe ..."</formula>
    </cfRule>
  </conditionalFormatting>
  <conditionalFormatting sqref="G16">
    <cfRule type="cellIs" priority="32" stopIfTrue="1" operator="equal">
      <formula>"Datenfreigabe ..."</formula>
    </cfRule>
  </conditionalFormatting>
  <conditionalFormatting sqref="G14">
    <cfRule type="cellIs" priority="31" stopIfTrue="1" operator="equal">
      <formula>"Datenfreigabe ..."</formula>
    </cfRule>
  </conditionalFormatting>
  <conditionalFormatting sqref="C14">
    <cfRule type="cellIs" priority="30" stopIfTrue="1" operator="equal">
      <formula>"Datenfreigabe ..."</formula>
    </cfRule>
  </conditionalFormatting>
  <conditionalFormatting sqref="W66 W68">
    <cfRule type="expression" dxfId="12" priority="13" stopIfTrue="1">
      <formula>IF($C$66="Name",FALSE,TRUE)</formula>
    </cfRule>
  </conditionalFormatting>
  <conditionalFormatting sqref="Z67:AC67">
    <cfRule type="expression" dxfId="11" priority="12" stopIfTrue="1">
      <formula>IF($C$66="Name",FALSE,TRUE)</formula>
    </cfRule>
  </conditionalFormatting>
  <conditionalFormatting sqref="AB66">
    <cfRule type="expression" dxfId="10" priority="11" stopIfTrue="1">
      <formula>IF($C$66="Name",FALSE,TRUE)</formula>
    </cfRule>
  </conditionalFormatting>
  <conditionalFormatting sqref="V67">
    <cfRule type="expression" dxfId="9" priority="10" stopIfTrue="1">
      <formula>IF($C$66="Name",FALSE,TRUE)</formula>
    </cfRule>
  </conditionalFormatting>
  <conditionalFormatting sqref="X67">
    <cfRule type="expression" dxfId="8" priority="9" stopIfTrue="1">
      <formula>IF($C$66="Name",FALSE,TRUE)</formula>
    </cfRule>
  </conditionalFormatting>
  <conditionalFormatting sqref="W67">
    <cfRule type="expression" dxfId="7" priority="8" stopIfTrue="1">
      <formula>IF($C$66="Name",FALSE,TRUE)</formula>
    </cfRule>
  </conditionalFormatting>
  <conditionalFormatting sqref="Y67">
    <cfRule type="expression" dxfId="6" priority="7" stopIfTrue="1">
      <formula>IF($C$66="Name",FALSE,TRUE)</formula>
    </cfRule>
  </conditionalFormatting>
  <conditionalFormatting sqref="AB68">
    <cfRule type="expression" dxfId="5" priority="6" stopIfTrue="1">
      <formula>IF($C$66="Name",FALSE,TRUE)</formula>
    </cfRule>
  </conditionalFormatting>
  <conditionalFormatting sqref="H9:I9">
    <cfRule type="cellIs" dxfId="4" priority="4" stopIfTrue="1" operator="notEqual">
      <formula>"00.00.0000"</formula>
    </cfRule>
  </conditionalFormatting>
  <conditionalFormatting sqref="F9">
    <cfRule type="expression" dxfId="3" priority="5" stopIfTrue="1">
      <formula>IF(#REF!,TRUE,FALSE)</formula>
    </cfRule>
  </conditionalFormatting>
  <conditionalFormatting sqref="F7">
    <cfRule type="expression" dxfId="2" priority="3" stopIfTrue="1">
      <formula>IF(#REF!,TRUE,FALSE)</formula>
    </cfRule>
  </conditionalFormatting>
  <conditionalFormatting sqref="H7:I7">
    <cfRule type="cellIs" dxfId="1" priority="2" stopIfTrue="1" operator="notEqual">
      <formula>"00.00.0000"</formula>
    </cfRule>
  </conditionalFormatting>
  <conditionalFormatting sqref="C9">
    <cfRule type="expression" dxfId="0" priority="1" stopIfTrue="1">
      <formula>IF(#REF!,TRUE,FALSE)</formula>
    </cfRule>
  </conditionalFormatting>
  <dataValidations count="1">
    <dataValidation errorStyle="warning" allowBlank="1" showInputMessage="1" showErrorMessage="1" errorTitle="Datum" error="Es muss ein Wert eingetragen sein." sqref="H6:H9"/>
  </dataValidations>
  <pageMargins left="0.27559055118110237" right="0.19685039370078741" top="0.19685039370078741" bottom="0.19685039370078741" header="0" footer="0"/>
  <pageSetup paperSize="9" scale="94" orientation="portrait" r:id="rId1"/>
  <headerFooter alignWithMargins="0"/>
  <colBreaks count="2" manualBreakCount="2">
    <brk id="10" max="68" man="1"/>
    <brk id="20" max="68" man="1"/>
  </colBreaks>
  <drawing r:id="rId2"/>
  <legacyDrawing r:id="rId3"/>
  <controls>
    <mc:AlternateContent xmlns:mc="http://schemas.openxmlformats.org/markup-compatibility/2006">
      <mc:Choice Requires="x14">
        <control shapeId="1163" r:id="rId4" name="Label1">
          <controlPr defaultSize="0" autoLine="0" r:id="rId5">
            <anchor moveWithCells="1">
              <from>
                <xdr:col>2</xdr:col>
                <xdr:colOff>790575</xdr:colOff>
                <xdr:row>72</xdr:row>
                <xdr:rowOff>133350</xdr:rowOff>
              </from>
              <to>
                <xdr:col>6</xdr:col>
                <xdr:colOff>200025</xdr:colOff>
                <xdr:row>82</xdr:row>
                <xdr:rowOff>9525</xdr:rowOff>
              </to>
            </anchor>
          </controlPr>
        </control>
      </mc:Choice>
      <mc:Fallback>
        <control shapeId="1163" r:id="rId4" name="Label1"/>
      </mc:Fallback>
    </mc:AlternateContent>
    <mc:AlternateContent xmlns:mc="http://schemas.openxmlformats.org/markup-compatibility/2006">
      <mc:Choice Requires="x14">
        <control shapeId="1061" r:id="rId6" name="SendButton">
          <controlPr locked="0" defaultSize="0" print="0" autoFill="0" autoPict="0" macro="[0]!Tabelle1.SpeichernSenden_Click" altText="Enviar">
            <anchor moveWithCells="1">
              <from>
                <xdr:col>2</xdr:col>
                <xdr:colOff>800100</xdr:colOff>
                <xdr:row>82</xdr:row>
                <xdr:rowOff>104775</xdr:rowOff>
              </from>
              <to>
                <xdr:col>6</xdr:col>
                <xdr:colOff>200025</xdr:colOff>
                <xdr:row>87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3" r:id="rId7" name="cb_bud">
          <controlPr locked="0" defaultSize="0" autoFill="0" autoLine="0" autoPict="0">
            <anchor moveWithCells="1">
              <from>
                <xdr:col>3</xdr:col>
                <xdr:colOff>38100</xdr:colOff>
                <xdr:row>75</xdr:row>
                <xdr:rowOff>28575</xdr:rowOff>
              </from>
              <to>
                <xdr:col>4</xdr:col>
                <xdr:colOff>361950</xdr:colOff>
                <xdr:row>76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5" r:id="rId8" name="cb_pm">
          <controlPr locked="0" defaultSize="0" autoFill="0" autoLine="0" autoPict="0">
            <anchor moveWithCells="1">
              <from>
                <xdr:col>3</xdr:col>
                <xdr:colOff>38100</xdr:colOff>
                <xdr:row>77</xdr:row>
                <xdr:rowOff>133350</xdr:rowOff>
              </from>
              <to>
                <xdr:col>4</xdr:col>
                <xdr:colOff>361950</xdr:colOff>
                <xdr:row>79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9" name="cb_cad">
          <controlPr locked="0" defaultSize="0" autoFill="0" autoLine="0" autoPict="0">
            <anchor moveWithCells="1">
              <from>
                <xdr:col>4</xdr:col>
                <xdr:colOff>400050</xdr:colOff>
                <xdr:row>75</xdr:row>
                <xdr:rowOff>38100</xdr:rowOff>
              </from>
              <to>
                <xdr:col>6</xdr:col>
                <xdr:colOff>57150</xdr:colOff>
                <xdr:row>76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7" r:id="rId10" name="cb_man">
          <controlPr locked="0" defaultSize="0" autoFill="0" autoLine="0" autoPict="0">
            <anchor moveWithCells="1">
              <from>
                <xdr:col>4</xdr:col>
                <xdr:colOff>400050</xdr:colOff>
                <xdr:row>76</xdr:row>
                <xdr:rowOff>104775</xdr:rowOff>
              </from>
              <to>
                <xdr:col>6</xdr:col>
                <xdr:colOff>57150</xdr:colOff>
                <xdr:row>78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8" r:id="rId11" name="cb_pl">
          <controlPr locked="0" defaultSize="0" autoFill="0" autoLine="0" autoPict="0">
            <anchor moveWithCells="1">
              <from>
                <xdr:col>4</xdr:col>
                <xdr:colOff>400050</xdr:colOff>
                <xdr:row>78</xdr:row>
                <xdr:rowOff>0</xdr:rowOff>
              </from>
              <to>
                <xdr:col>6</xdr:col>
                <xdr:colOff>57150</xdr:colOff>
                <xdr:row>79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0" r:id="rId12" name="cb_qua">
          <controlPr locked="0" defaultSize="0" autoFill="0" autoLine="0" autoPict="0">
            <anchor moveWithCells="1">
              <from>
                <xdr:col>3</xdr:col>
                <xdr:colOff>38100</xdr:colOff>
                <xdr:row>79</xdr:row>
                <xdr:rowOff>47625</xdr:rowOff>
              </from>
              <to>
                <xdr:col>4</xdr:col>
                <xdr:colOff>361950</xdr:colOff>
                <xdr:row>80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1" r:id="rId13" name="cb_log">
          <controlPr locked="0" defaultSize="0" autoFill="0" autoLine="0" autoPict="0">
            <anchor moveWithCells="1">
              <from>
                <xdr:col>3</xdr:col>
                <xdr:colOff>38100</xdr:colOff>
                <xdr:row>76</xdr:row>
                <xdr:rowOff>95250</xdr:rowOff>
              </from>
              <to>
                <xdr:col>4</xdr:col>
                <xdr:colOff>361950</xdr:colOff>
                <xdr:row>78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3" r:id="rId14" name="cb_to">
          <controlPr locked="0" defaultSize="0" autoFill="0" autoLine="0" autoPict="0">
            <anchor moveWithCells="1">
              <from>
                <xdr:col>4</xdr:col>
                <xdr:colOff>400050</xdr:colOff>
                <xdr:row>79</xdr:row>
                <xdr:rowOff>76200</xdr:rowOff>
              </from>
              <to>
                <xdr:col>6</xdr:col>
                <xdr:colOff>57150</xdr:colOff>
                <xdr:row>80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3" r:id="rId15" name="KVS">
          <controlPr locked="0" defaultSize="0" autoFill="0" autoLine="0" autoPict="0">
            <anchor moveWithCells="1">
              <from>
                <xdr:col>1</xdr:col>
                <xdr:colOff>1209675</xdr:colOff>
                <xdr:row>16</xdr:row>
                <xdr:rowOff>38100</xdr:rowOff>
              </from>
              <to>
                <xdr:col>3</xdr:col>
                <xdr:colOff>19050</xdr:colOff>
                <xdr:row>17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4" r:id="rId16" name="ZWA">
          <controlPr locked="0" defaultSize="0" autoFill="0" autoLine="0" autoPict="0">
            <anchor moveWithCells="1">
              <from>
                <xdr:col>3</xdr:col>
                <xdr:colOff>809625</xdr:colOff>
                <xdr:row>16</xdr:row>
                <xdr:rowOff>38100</xdr:rowOff>
              </from>
              <to>
                <xdr:col>5</xdr:col>
                <xdr:colOff>257175</xdr:colOff>
                <xdr:row>17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5" r:id="rId17" name="DriveR">
          <controlPr locked="0" defaultSize="0" autoFill="0" autoLine="0" autoPict="0">
            <anchor moveWithCells="1">
              <from>
                <xdr:col>5</xdr:col>
                <xdr:colOff>628650</xdr:colOff>
                <xdr:row>16</xdr:row>
                <xdr:rowOff>28575</xdr:rowOff>
              </from>
              <to>
                <xdr:col>8</xdr:col>
                <xdr:colOff>133350</xdr:colOff>
                <xdr:row>17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2" r:id="rId18" name="Abrir browser">
          <controlPr locked="0" defaultSize="0" print="0" autoFill="0" autoPict="0" macro="[0]!RCpathBrowser">
            <anchor moveWithCells="1" sizeWithCells="1">
              <from>
                <xdr:col>8</xdr:col>
                <xdr:colOff>628650</xdr:colOff>
                <xdr:row>50</xdr:row>
                <xdr:rowOff>9525</xdr:rowOff>
              </from>
              <to>
                <xdr:col>8</xdr:col>
                <xdr:colOff>828675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7" r:id="rId19" name="Abrir browser">
          <controlPr locked="0" defaultSize="0" print="0" autoFill="0" autoPict="0" macro="[0]!DDpathBrowser">
            <anchor moveWithCells="1" sizeWithCells="1">
              <from>
                <xdr:col>8</xdr:col>
                <xdr:colOff>628650</xdr:colOff>
                <xdr:row>53</xdr:row>
                <xdr:rowOff>9525</xdr:rowOff>
              </from>
              <to>
                <xdr:col>8</xdr:col>
                <xdr:colOff>828675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8" r:id="rId20" name="Abrir browser">
          <controlPr locked="0" defaultSize="0" print="0" autoFill="0" autoPict="0" macro="[0]!LMpathBrowser">
            <anchor moveWithCells="1" sizeWithCells="1">
              <from>
                <xdr:col>8</xdr:col>
                <xdr:colOff>628650</xdr:colOff>
                <xdr:row>56</xdr:row>
                <xdr:rowOff>9525</xdr:rowOff>
              </from>
              <to>
                <xdr:col>8</xdr:col>
                <xdr:colOff>828675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9" r:id="rId21" name="Abrir browser">
          <controlPr locked="0" defaultSize="0" print="0" autoFill="0" autoPict="0" macro="[0]!DRpathBrowser">
            <anchor moveWithCells="1" sizeWithCells="1">
              <from>
                <xdr:col>8</xdr:col>
                <xdr:colOff>628650</xdr:colOff>
                <xdr:row>59</xdr:row>
                <xdr:rowOff>9525</xdr:rowOff>
              </from>
              <to>
                <xdr:col>8</xdr:col>
                <xdr:colOff>828675</xdr:colOff>
                <xdr:row>60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0" r:id="rId22" name="Abrir browser">
          <controlPr locked="0" defaultSize="0" print="0" autoFill="0" autoPict="0" macro="[0]!OTpathBrowser">
            <anchor moveWithCells="1" sizeWithCells="1">
              <from>
                <xdr:col>8</xdr:col>
                <xdr:colOff>628650</xdr:colOff>
                <xdr:row>62</xdr:row>
                <xdr:rowOff>9525</xdr:rowOff>
              </from>
              <to>
                <xdr:col>8</xdr:col>
                <xdr:colOff>828675</xdr:colOff>
                <xdr:row>63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2" r:id="rId23" name="ddPages">
          <controlPr locked="0" defaultSize="0" print="0" autoLine="0" autoPict="0" macro="[0]!SetPagesToPrint">
            <anchor moveWithCells="1">
              <from>
                <xdr:col>4</xdr:col>
                <xdr:colOff>200025</xdr:colOff>
                <xdr:row>88</xdr:row>
                <xdr:rowOff>28575</xdr:rowOff>
              </from>
              <to>
                <xdr:col>6</xdr:col>
                <xdr:colOff>190500</xdr:colOff>
                <xdr:row>90</xdr:row>
                <xdr:rowOff>104775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'Folha de apoio'!$A$2:$A$12</xm:f>
          </x14:formula1>
          <xm:sqref>C14:F16</xm:sqref>
        </x14:dataValidation>
        <x14:dataValidation type="list" allowBlank="1" showInputMessage="1" showErrorMessage="1">
          <x14:formula1>
            <xm:f>'Folha de apoio'!$C$2:$C$6</xm:f>
          </x14:formula1>
          <xm:sqref>G14:H16</xm:sqref>
        </x14:dataValidation>
        <x14:dataValidation type="list" allowBlank="1" showInputMessage="1" showErrorMessage="1">
          <x14:formula1>
            <xm:f>'Folha de apoio'!$I$2:$I$22</xm:f>
          </x14:formula1>
          <xm:sqref>C66:E66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D56"/>
  <sheetViews>
    <sheetView zoomScaleNormal="100" workbookViewId="0">
      <selection activeCell="A35" sqref="A35"/>
    </sheetView>
  </sheetViews>
  <sheetFormatPr defaultColWidth="11.42578125" defaultRowHeight="12.75" x14ac:dyDescent="0.2"/>
  <cols>
    <col min="1" max="1" width="40.28515625" style="21" customWidth="1"/>
    <col min="2" max="2" width="7.140625" style="21" customWidth="1"/>
    <col min="3" max="3" width="14.5703125" style="21" customWidth="1"/>
    <col min="4" max="4" width="17.85546875" style="21" customWidth="1"/>
    <col min="5" max="5" width="33" style="21" customWidth="1"/>
    <col min="6" max="6" width="4.7109375" style="21" customWidth="1"/>
    <col min="7" max="7" width="3.85546875" style="21" customWidth="1"/>
    <col min="8" max="8" width="14.5703125" style="21" customWidth="1"/>
    <col min="9" max="9" width="17" style="21" customWidth="1"/>
    <col min="10" max="10" width="16" style="21" bestFit="1" customWidth="1"/>
    <col min="11" max="11" width="13.7109375" style="21" customWidth="1"/>
    <col min="12" max="12" width="14" style="21" customWidth="1"/>
    <col min="13" max="13" width="18.7109375" style="21" customWidth="1"/>
    <col min="14" max="14" width="15.7109375" style="21" customWidth="1"/>
    <col min="15" max="15" width="16.42578125" style="21" customWidth="1"/>
    <col min="16" max="16" width="16.85546875" style="21" customWidth="1"/>
    <col min="17" max="17" width="15.42578125" style="21" customWidth="1"/>
    <col min="18" max="18" width="21.42578125" style="21" customWidth="1"/>
    <col min="19" max="19" width="21.5703125" style="21" customWidth="1"/>
    <col min="20" max="20" width="23" style="21" customWidth="1"/>
    <col min="21" max="21" width="24.140625" style="21" customWidth="1"/>
    <col min="22" max="22" width="14.28515625" style="21" customWidth="1"/>
    <col min="23" max="23" width="23.28515625" style="21" customWidth="1"/>
    <col min="24" max="24" width="22.85546875" style="21" bestFit="1" customWidth="1"/>
    <col min="25" max="25" width="25.5703125" style="21" customWidth="1"/>
    <col min="26" max="26" width="24.140625" style="21" bestFit="1" customWidth="1"/>
    <col min="27" max="27" width="15.42578125" style="21" customWidth="1"/>
    <col min="28" max="28" width="18.42578125" style="21" customWidth="1"/>
    <col min="29" max="30" width="16" style="21" customWidth="1"/>
    <col min="31" max="31" width="18" style="21" customWidth="1"/>
    <col min="32" max="32" width="17.7109375" style="21" customWidth="1"/>
    <col min="33" max="16384" width="11.42578125" style="21"/>
  </cols>
  <sheetData>
    <row r="1" spans="1:26" x14ac:dyDescent="0.2">
      <c r="A1" s="27" t="s">
        <v>65</v>
      </c>
      <c r="C1" s="27" t="s">
        <v>64</v>
      </c>
      <c r="E1" s="49"/>
      <c r="G1" s="49"/>
      <c r="I1" s="177" t="s">
        <v>20</v>
      </c>
      <c r="J1" s="177"/>
      <c r="L1" s="27" t="s">
        <v>70</v>
      </c>
      <c r="N1" s="27" t="s">
        <v>63</v>
      </c>
      <c r="P1" s="27" t="s">
        <v>66</v>
      </c>
      <c r="R1" s="27" t="s">
        <v>72</v>
      </c>
      <c r="T1" s="27" t="s">
        <v>67</v>
      </c>
      <c r="V1" s="27" t="s">
        <v>71</v>
      </c>
      <c r="X1" s="27" t="s">
        <v>69</v>
      </c>
      <c r="Z1" s="27" t="s">
        <v>68</v>
      </c>
    </row>
    <row r="2" spans="1:26" x14ac:dyDescent="0.2">
      <c r="A2" s="22" t="s">
        <v>97</v>
      </c>
      <c r="B2" s="23"/>
      <c r="C2" s="22" t="s">
        <v>223</v>
      </c>
      <c r="D2" s="23"/>
      <c r="E2" s="29"/>
      <c r="G2" s="29"/>
      <c r="I2" s="25" t="s">
        <v>77</v>
      </c>
      <c r="J2" s="32" t="s">
        <v>198</v>
      </c>
      <c r="L2" s="25" t="s">
        <v>73</v>
      </c>
      <c r="N2" s="25" t="s">
        <v>76</v>
      </c>
      <c r="P2" s="25" t="s">
        <v>83</v>
      </c>
      <c r="R2" s="25" t="s">
        <v>75</v>
      </c>
      <c r="T2" s="25" t="s">
        <v>207</v>
      </c>
      <c r="V2" s="25" t="s">
        <v>196</v>
      </c>
      <c r="X2" s="25" t="s">
        <v>74</v>
      </c>
      <c r="Z2" s="25" t="s">
        <v>208</v>
      </c>
    </row>
    <row r="3" spans="1:26" x14ac:dyDescent="0.2">
      <c r="A3" s="22" t="s">
        <v>25</v>
      </c>
      <c r="B3" s="23"/>
      <c r="C3" s="22" t="s">
        <v>224</v>
      </c>
      <c r="D3" s="23"/>
      <c r="E3" s="29"/>
      <c r="G3" s="29"/>
      <c r="I3" s="25" t="s">
        <v>199</v>
      </c>
      <c r="J3" s="31" t="s">
        <v>41</v>
      </c>
      <c r="N3" s="28"/>
      <c r="P3" s="29"/>
      <c r="R3" s="26"/>
      <c r="T3" s="26"/>
      <c r="V3" s="26"/>
      <c r="X3" s="26"/>
      <c r="Z3" s="26"/>
    </row>
    <row r="4" spans="1:26" x14ac:dyDescent="0.2">
      <c r="A4" s="22" t="s">
        <v>87</v>
      </c>
      <c r="B4" s="23"/>
      <c r="C4" s="22" t="s">
        <v>91</v>
      </c>
      <c r="D4" s="23"/>
      <c r="E4" s="29"/>
      <c r="G4" s="28"/>
      <c r="I4" s="25" t="s">
        <v>200</v>
      </c>
      <c r="J4" s="31" t="s">
        <v>42</v>
      </c>
      <c r="N4" s="28"/>
      <c r="P4" s="29"/>
      <c r="R4" s="26"/>
      <c r="T4" s="26"/>
      <c r="V4" s="26"/>
      <c r="X4" s="26"/>
      <c r="Z4" s="26"/>
    </row>
    <row r="5" spans="1:26" x14ac:dyDescent="0.2">
      <c r="A5" s="22" t="s">
        <v>78</v>
      </c>
      <c r="B5" s="23"/>
      <c r="C5" s="22" t="s">
        <v>90</v>
      </c>
      <c r="D5" s="23"/>
      <c r="E5" s="28"/>
      <c r="G5" s="28"/>
      <c r="H5" s="26"/>
      <c r="I5" s="25" t="s">
        <v>201</v>
      </c>
      <c r="J5" s="31" t="s">
        <v>41</v>
      </c>
      <c r="N5" s="28"/>
      <c r="R5" s="26"/>
      <c r="T5" s="26"/>
      <c r="V5" s="26"/>
      <c r="X5" s="26"/>
      <c r="Z5" s="26"/>
    </row>
    <row r="6" spans="1:26" x14ac:dyDescent="0.2">
      <c r="A6" s="22" t="s">
        <v>28</v>
      </c>
      <c r="B6" s="23"/>
      <c r="C6" s="22" t="s">
        <v>79</v>
      </c>
      <c r="D6" s="23"/>
      <c r="E6" s="28"/>
      <c r="G6" s="29"/>
      <c r="I6" s="25" t="s">
        <v>59</v>
      </c>
      <c r="J6" s="31" t="s">
        <v>43</v>
      </c>
      <c r="L6" s="64" t="s">
        <v>191</v>
      </c>
      <c r="N6" s="28"/>
      <c r="R6" s="26"/>
      <c r="T6" s="26"/>
      <c r="V6" s="26"/>
      <c r="Z6" s="26"/>
    </row>
    <row r="7" spans="1:26" x14ac:dyDescent="0.2">
      <c r="A7" s="22" t="s">
        <v>30</v>
      </c>
      <c r="B7" s="23"/>
      <c r="D7" s="23"/>
      <c r="E7" s="28"/>
      <c r="G7" s="28"/>
      <c r="I7" s="25" t="s">
        <v>54</v>
      </c>
      <c r="J7" s="31" t="s">
        <v>44</v>
      </c>
      <c r="L7" s="67" t="s">
        <v>195</v>
      </c>
      <c r="N7" s="28"/>
      <c r="R7" s="26"/>
      <c r="T7" s="26"/>
      <c r="V7" s="26"/>
      <c r="Z7" s="26"/>
    </row>
    <row r="8" spans="1:26" x14ac:dyDescent="0.2">
      <c r="A8" s="22" t="s">
        <v>80</v>
      </c>
      <c r="B8" s="23"/>
      <c r="C8" s="23"/>
      <c r="D8" s="23"/>
      <c r="E8" s="28"/>
      <c r="G8" s="29"/>
      <c r="I8" s="25" t="s">
        <v>53</v>
      </c>
      <c r="J8" s="32" t="s">
        <v>84</v>
      </c>
      <c r="N8" s="28"/>
      <c r="T8" s="26"/>
      <c r="V8" s="26"/>
      <c r="Z8" s="26"/>
    </row>
    <row r="9" spans="1:26" x14ac:dyDescent="0.2">
      <c r="A9" s="22" t="s">
        <v>82</v>
      </c>
      <c r="B9" s="23"/>
      <c r="C9" s="35" t="s">
        <v>29</v>
      </c>
      <c r="D9" s="23"/>
      <c r="E9" s="28"/>
      <c r="G9" s="29"/>
      <c r="I9" s="25" t="s">
        <v>50</v>
      </c>
      <c r="J9" s="31" t="s">
        <v>42</v>
      </c>
      <c r="N9" s="28"/>
      <c r="T9" s="26"/>
      <c r="V9" s="26"/>
      <c r="Z9" s="26"/>
    </row>
    <row r="10" spans="1:26" x14ac:dyDescent="0.2">
      <c r="A10" s="22" t="s">
        <v>81</v>
      </c>
      <c r="B10" s="23"/>
      <c r="C10" s="36" t="s">
        <v>92</v>
      </c>
      <c r="E10" s="28"/>
      <c r="G10" s="28"/>
      <c r="I10" s="25" t="s">
        <v>55</v>
      </c>
      <c r="J10" s="32" t="s">
        <v>84</v>
      </c>
      <c r="N10" s="28"/>
      <c r="T10" s="26"/>
      <c r="Z10" s="26"/>
    </row>
    <row r="11" spans="1:26" x14ac:dyDescent="0.2">
      <c r="A11" s="22" t="s">
        <v>33</v>
      </c>
      <c r="B11" s="23"/>
      <c r="E11" s="28"/>
      <c r="G11" s="28"/>
      <c r="I11" s="25" t="s">
        <v>62</v>
      </c>
      <c r="J11" s="31" t="s">
        <v>45</v>
      </c>
      <c r="N11" s="28"/>
      <c r="T11" s="26"/>
      <c r="Z11" s="26"/>
    </row>
    <row r="12" spans="1:26" x14ac:dyDescent="0.2">
      <c r="A12" s="22" t="s">
        <v>27</v>
      </c>
      <c r="B12" s="23"/>
      <c r="E12" s="28"/>
      <c r="G12" s="28"/>
      <c r="I12" s="25" t="s">
        <v>51</v>
      </c>
      <c r="J12" s="31" t="s">
        <v>41</v>
      </c>
      <c r="N12" s="28"/>
      <c r="T12" s="26"/>
      <c r="Z12" s="26"/>
    </row>
    <row r="13" spans="1:26" x14ac:dyDescent="0.2">
      <c r="G13" s="28"/>
      <c r="I13" s="25" t="s">
        <v>52</v>
      </c>
      <c r="J13" s="31" t="s">
        <v>41</v>
      </c>
      <c r="N13" s="28"/>
      <c r="T13" s="26"/>
      <c r="Z13" s="26"/>
    </row>
    <row r="14" spans="1:26" x14ac:dyDescent="0.2">
      <c r="G14" s="28"/>
      <c r="I14" s="25" t="s">
        <v>56</v>
      </c>
      <c r="J14" s="31" t="s">
        <v>42</v>
      </c>
      <c r="N14" s="28"/>
      <c r="T14" s="26"/>
      <c r="Z14" s="26"/>
    </row>
    <row r="15" spans="1:26" x14ac:dyDescent="0.2">
      <c r="I15" s="25" t="s">
        <v>58</v>
      </c>
      <c r="J15" s="31" t="s">
        <v>45</v>
      </c>
      <c r="N15" s="28"/>
      <c r="T15" s="26"/>
      <c r="Z15" s="26"/>
    </row>
    <row r="16" spans="1:26" x14ac:dyDescent="0.2">
      <c r="E16" s="24" t="s">
        <v>85</v>
      </c>
      <c r="I16" s="25" t="s">
        <v>192</v>
      </c>
      <c r="J16" s="32" t="s">
        <v>198</v>
      </c>
      <c r="N16" s="28"/>
      <c r="T16" s="26"/>
      <c r="Z16" s="26"/>
    </row>
    <row r="17" spans="1:26" x14ac:dyDescent="0.2">
      <c r="E17" s="24" t="s">
        <v>89</v>
      </c>
      <c r="I17" s="25" t="s">
        <v>202</v>
      </c>
      <c r="J17" s="31" t="s">
        <v>48</v>
      </c>
      <c r="N17" s="28"/>
      <c r="T17" s="26"/>
      <c r="Z17" s="26"/>
    </row>
    <row r="18" spans="1:26" x14ac:dyDescent="0.2">
      <c r="A18" s="26" t="s">
        <v>96</v>
      </c>
      <c r="E18" s="25" t="s">
        <v>116</v>
      </c>
      <c r="I18" s="25" t="s">
        <v>203</v>
      </c>
      <c r="J18" s="31" t="s">
        <v>46</v>
      </c>
      <c r="N18" s="28"/>
      <c r="T18" s="26"/>
      <c r="Z18" s="26"/>
    </row>
    <row r="19" spans="1:26" x14ac:dyDescent="0.2">
      <c r="A19" s="21">
        <v>1</v>
      </c>
      <c r="E19" s="24" t="s">
        <v>9</v>
      </c>
      <c r="I19" s="25" t="s">
        <v>57</v>
      </c>
      <c r="J19" s="31" t="s">
        <v>43</v>
      </c>
      <c r="N19" s="28"/>
      <c r="T19" s="26"/>
      <c r="Z19" s="26"/>
    </row>
    <row r="20" spans="1:26" x14ac:dyDescent="0.2">
      <c r="A20" s="21">
        <v>2</v>
      </c>
      <c r="E20" s="25" t="s">
        <v>115</v>
      </c>
      <c r="I20" s="25" t="s">
        <v>60</v>
      </c>
      <c r="J20" s="31" t="s">
        <v>44</v>
      </c>
      <c r="N20" s="28"/>
      <c r="T20" s="26"/>
      <c r="Z20" s="26"/>
    </row>
    <row r="21" spans="1:26" x14ac:dyDescent="0.2">
      <c r="A21" s="21">
        <v>3</v>
      </c>
      <c r="E21" s="24" t="s">
        <v>31</v>
      </c>
      <c r="I21" s="25" t="s">
        <v>34</v>
      </c>
      <c r="J21" s="31" t="s">
        <v>49</v>
      </c>
      <c r="N21" s="28"/>
      <c r="T21" s="26"/>
      <c r="Z21" s="26"/>
    </row>
    <row r="22" spans="1:26" x14ac:dyDescent="0.2">
      <c r="E22" s="24" t="s">
        <v>88</v>
      </c>
      <c r="I22" s="25" t="s">
        <v>61</v>
      </c>
      <c r="J22" s="31" t="s">
        <v>47</v>
      </c>
      <c r="N22" s="28"/>
      <c r="T22" s="26"/>
    </row>
    <row r="23" spans="1:26" x14ac:dyDescent="0.2">
      <c r="E23" s="24" t="s">
        <v>10</v>
      </c>
      <c r="T23" s="26"/>
    </row>
    <row r="24" spans="1:26" x14ac:dyDescent="0.2">
      <c r="E24" s="24" t="s">
        <v>12</v>
      </c>
      <c r="T24" s="26"/>
    </row>
    <row r="25" spans="1:26" x14ac:dyDescent="0.2">
      <c r="E25" s="24" t="s">
        <v>11</v>
      </c>
    </row>
    <row r="26" spans="1:26" x14ac:dyDescent="0.2">
      <c r="E26" s="24" t="s">
        <v>7</v>
      </c>
    </row>
    <row r="27" spans="1:26" x14ac:dyDescent="0.2">
      <c r="E27" s="24" t="s">
        <v>8</v>
      </c>
      <c r="I27" s="49"/>
    </row>
    <row r="29" spans="1:26" x14ac:dyDescent="0.2">
      <c r="A29" s="56" t="s">
        <v>217</v>
      </c>
      <c r="C29" s="56" t="s">
        <v>221</v>
      </c>
      <c r="D29" s="56" t="s">
        <v>222</v>
      </c>
      <c r="E29" s="56" t="s">
        <v>218</v>
      </c>
      <c r="H29" s="56" t="s">
        <v>102</v>
      </c>
      <c r="I29" s="77" t="s">
        <v>98</v>
      </c>
      <c r="J29" s="77" t="s">
        <v>94</v>
      </c>
      <c r="K29" s="77" t="s">
        <v>103</v>
      </c>
      <c r="L29" s="77" t="s">
        <v>104</v>
      </c>
      <c r="M29" s="77" t="s">
        <v>105</v>
      </c>
      <c r="N29" s="77" t="s">
        <v>106</v>
      </c>
      <c r="O29" s="77" t="s">
        <v>107</v>
      </c>
      <c r="P29" s="77" t="s">
        <v>108</v>
      </c>
      <c r="Q29" s="77" t="s">
        <v>109</v>
      </c>
      <c r="R29" s="77" t="s">
        <v>110</v>
      </c>
      <c r="S29" s="77" t="s">
        <v>111</v>
      </c>
      <c r="T29" s="77" t="s">
        <v>112</v>
      </c>
      <c r="U29" s="77" t="s">
        <v>113</v>
      </c>
      <c r="V29" s="77" t="s">
        <v>114</v>
      </c>
      <c r="W29" s="77" t="s">
        <v>161</v>
      </c>
      <c r="X29" s="77" t="s">
        <v>162</v>
      </c>
      <c r="Y29" s="77" t="s">
        <v>210</v>
      </c>
    </row>
    <row r="30" spans="1:26" x14ac:dyDescent="0.2">
      <c r="A30" s="25" t="s">
        <v>101</v>
      </c>
      <c r="C30" s="25" t="s">
        <v>220</v>
      </c>
      <c r="D30" s="25" t="s">
        <v>215</v>
      </c>
      <c r="E30" s="25" t="s">
        <v>197</v>
      </c>
      <c r="H30" s="57" t="s">
        <v>146</v>
      </c>
      <c r="I30" s="50" t="s">
        <v>99</v>
      </c>
      <c r="J30" s="31" t="s">
        <v>118</v>
      </c>
      <c r="K30" s="50" t="s">
        <v>121</v>
      </c>
      <c r="L30" s="31" t="s">
        <v>128</v>
      </c>
      <c r="M30" s="50" t="s">
        <v>131</v>
      </c>
      <c r="N30" s="31" t="s">
        <v>132</v>
      </c>
      <c r="O30" s="50" t="s">
        <v>136</v>
      </c>
      <c r="P30" s="31" t="s">
        <v>137</v>
      </c>
      <c r="Q30" s="32" t="s">
        <v>157</v>
      </c>
      <c r="R30" s="51" t="s">
        <v>123</v>
      </c>
      <c r="S30" s="31" t="s">
        <v>124</v>
      </c>
      <c r="T30" s="32" t="s">
        <v>124</v>
      </c>
      <c r="U30" s="31" t="s">
        <v>126</v>
      </c>
      <c r="V30" s="54" t="s">
        <v>147</v>
      </c>
      <c r="W30" s="32" t="s">
        <v>127</v>
      </c>
      <c r="X30" s="32" t="s">
        <v>163</v>
      </c>
      <c r="Y30" s="32" t="s">
        <v>211</v>
      </c>
    </row>
    <row r="31" spans="1:26" x14ac:dyDescent="0.2">
      <c r="A31" s="25" t="s">
        <v>78</v>
      </c>
      <c r="C31" s="25" t="s">
        <v>216</v>
      </c>
      <c r="D31" s="24" t="s">
        <v>0</v>
      </c>
      <c r="E31" s="25" t="s">
        <v>219</v>
      </c>
      <c r="I31" s="50" t="s">
        <v>117</v>
      </c>
      <c r="J31" s="31" t="s">
        <v>95</v>
      </c>
      <c r="K31" s="50" t="s">
        <v>122</v>
      </c>
      <c r="L31" s="31" t="s">
        <v>129</v>
      </c>
      <c r="M31" s="28"/>
      <c r="N31" s="31" t="s">
        <v>133</v>
      </c>
      <c r="O31" s="28"/>
      <c r="P31" s="31" t="s">
        <v>138</v>
      </c>
      <c r="Q31" s="32" t="s">
        <v>156</v>
      </c>
      <c r="R31" s="51">
        <v>510823198</v>
      </c>
      <c r="S31" s="31" t="s">
        <v>125</v>
      </c>
      <c r="T31" s="32" t="s">
        <v>125</v>
      </c>
      <c r="U31" s="32" t="s">
        <v>159</v>
      </c>
      <c r="W31" s="32" t="s">
        <v>160</v>
      </c>
      <c r="X31" s="32" t="s">
        <v>164</v>
      </c>
      <c r="Y31" s="32" t="s">
        <v>212</v>
      </c>
    </row>
    <row r="32" spans="1:26" x14ac:dyDescent="0.2">
      <c r="A32" s="25" t="s">
        <v>170</v>
      </c>
      <c r="C32" s="29"/>
      <c r="D32" s="24" t="s">
        <v>13</v>
      </c>
      <c r="E32" s="29"/>
      <c r="I32" s="55"/>
      <c r="J32" s="31" t="s">
        <v>119</v>
      </c>
      <c r="K32" s="32" t="s">
        <v>149</v>
      </c>
      <c r="L32" s="31" t="s">
        <v>130</v>
      </c>
      <c r="M32" s="28"/>
      <c r="N32" s="31" t="s">
        <v>134</v>
      </c>
      <c r="O32" s="28"/>
      <c r="P32" s="31" t="s">
        <v>139</v>
      </c>
      <c r="Q32" s="32" t="s">
        <v>155</v>
      </c>
      <c r="R32" s="51">
        <v>510827105</v>
      </c>
      <c r="S32" s="28"/>
      <c r="T32" s="28"/>
      <c r="U32" s="31" t="s">
        <v>127</v>
      </c>
      <c r="W32" s="32"/>
      <c r="X32" s="32" t="s">
        <v>165</v>
      </c>
    </row>
    <row r="33" spans="1:30" x14ac:dyDescent="0.2">
      <c r="A33" s="28"/>
      <c r="C33" s="28"/>
      <c r="D33" s="24" t="s">
        <v>19</v>
      </c>
      <c r="E33" s="28"/>
      <c r="I33" s="52"/>
      <c r="J33" s="31" t="s">
        <v>120</v>
      </c>
      <c r="K33" s="32" t="s">
        <v>150</v>
      </c>
      <c r="L33" s="28"/>
      <c r="M33" s="28"/>
      <c r="N33" s="31" t="s">
        <v>135</v>
      </c>
      <c r="O33" s="28"/>
      <c r="P33" s="50" t="s">
        <v>140</v>
      </c>
      <c r="Q33" s="32" t="s">
        <v>154</v>
      </c>
      <c r="R33" s="51">
        <v>510833209</v>
      </c>
      <c r="S33" s="28"/>
      <c r="T33" s="28"/>
      <c r="U33" s="32" t="s">
        <v>160</v>
      </c>
      <c r="W33" s="32"/>
      <c r="X33" s="32" t="s">
        <v>166</v>
      </c>
    </row>
    <row r="34" spans="1:30" x14ac:dyDescent="0.2">
      <c r="A34" s="28"/>
      <c r="C34" s="28"/>
      <c r="D34" s="24" t="s">
        <v>1</v>
      </c>
      <c r="E34" s="29"/>
      <c r="I34" s="52"/>
      <c r="J34" s="32" t="s">
        <v>148</v>
      </c>
      <c r="K34" s="52"/>
      <c r="L34" s="28"/>
      <c r="M34" s="28"/>
      <c r="N34" s="28"/>
      <c r="O34" s="28"/>
      <c r="P34" s="50" t="s">
        <v>141</v>
      </c>
      <c r="Q34" s="32" t="s">
        <v>153</v>
      </c>
      <c r="R34" s="28"/>
      <c r="S34" s="28"/>
      <c r="T34" s="28"/>
      <c r="X34" s="32" t="s">
        <v>167</v>
      </c>
    </row>
    <row r="35" spans="1:30" x14ac:dyDescent="0.2">
      <c r="A35" s="28"/>
      <c r="C35" s="28"/>
      <c r="D35" s="24" t="s">
        <v>2</v>
      </c>
      <c r="E35" s="28"/>
      <c r="I35" s="52"/>
      <c r="J35" s="52"/>
      <c r="K35" s="52"/>
      <c r="L35" s="28"/>
      <c r="M35" s="28"/>
      <c r="N35" s="28"/>
      <c r="O35" s="28"/>
      <c r="P35" s="50" t="s">
        <v>142</v>
      </c>
      <c r="Q35" s="32" t="s">
        <v>143</v>
      </c>
      <c r="R35" s="28"/>
      <c r="S35" s="28"/>
      <c r="T35" s="28"/>
    </row>
    <row r="36" spans="1:30" x14ac:dyDescent="0.2">
      <c r="A36" s="28"/>
      <c r="C36" s="28"/>
      <c r="D36" s="24" t="s">
        <v>3</v>
      </c>
      <c r="E36" s="28"/>
      <c r="I36" s="52"/>
      <c r="J36" s="52"/>
      <c r="K36" s="52"/>
      <c r="L36" s="28"/>
      <c r="M36" s="28"/>
      <c r="N36" s="28"/>
      <c r="O36" s="28"/>
      <c r="P36" s="28"/>
      <c r="Q36" s="32" t="s">
        <v>158</v>
      </c>
      <c r="R36" s="28"/>
      <c r="S36" s="28"/>
      <c r="T36" s="28"/>
    </row>
    <row r="37" spans="1:30" x14ac:dyDescent="0.2">
      <c r="A37" s="28"/>
      <c r="C37" s="28"/>
      <c r="D37" s="24" t="s">
        <v>4</v>
      </c>
      <c r="E37" s="28"/>
      <c r="I37" s="52"/>
      <c r="J37" s="52"/>
      <c r="K37" s="52"/>
      <c r="Q37" s="31" t="s">
        <v>144</v>
      </c>
      <c r="S37" s="28"/>
    </row>
    <row r="38" spans="1:30" x14ac:dyDescent="0.2">
      <c r="A38" s="28"/>
      <c r="C38" s="28"/>
      <c r="D38" s="24" t="s">
        <v>5</v>
      </c>
      <c r="E38" s="28"/>
      <c r="I38" s="52"/>
      <c r="J38" s="52"/>
      <c r="K38" s="52"/>
      <c r="Q38" s="31" t="s">
        <v>145</v>
      </c>
    </row>
    <row r="39" spans="1:30" x14ac:dyDescent="0.2">
      <c r="C39" s="28"/>
      <c r="D39" s="24" t="s">
        <v>6</v>
      </c>
      <c r="E39" s="28"/>
      <c r="I39" s="52"/>
      <c r="J39" s="52"/>
      <c r="K39" s="52"/>
      <c r="Q39" s="32" t="s">
        <v>151</v>
      </c>
    </row>
    <row r="40" spans="1:30" x14ac:dyDescent="0.2">
      <c r="C40" s="28"/>
      <c r="E40" s="28"/>
      <c r="I40" s="52"/>
      <c r="J40" s="52"/>
      <c r="K40" s="52"/>
      <c r="Q40" s="32" t="s">
        <v>152</v>
      </c>
    </row>
    <row r="41" spans="1:30" x14ac:dyDescent="0.2">
      <c r="C41" s="28"/>
      <c r="E41" s="28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</row>
    <row r="42" spans="1:30" x14ac:dyDescent="0.2">
      <c r="C42" s="28"/>
      <c r="E42" s="28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</row>
    <row r="43" spans="1:30" x14ac:dyDescent="0.2">
      <c r="C43" s="28"/>
      <c r="E43" s="28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</row>
    <row r="44" spans="1:30" x14ac:dyDescent="0.2"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</row>
    <row r="45" spans="1:30" x14ac:dyDescent="0.2"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3"/>
      <c r="AD45" s="28"/>
    </row>
    <row r="46" spans="1:30" x14ac:dyDescent="0.2"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</row>
    <row r="47" spans="1:30" x14ac:dyDescent="0.2"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</row>
    <row r="48" spans="1:30" x14ac:dyDescent="0.2"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</row>
    <row r="49" spans="9:21" x14ac:dyDescent="0.2"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</row>
    <row r="50" spans="9:21" x14ac:dyDescent="0.2"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</row>
    <row r="51" spans="9:21" x14ac:dyDescent="0.2"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</row>
    <row r="52" spans="9:21" x14ac:dyDescent="0.2">
      <c r="I52" s="52"/>
      <c r="J52" s="52"/>
      <c r="K52" s="52"/>
      <c r="M52" s="52"/>
      <c r="N52" s="52"/>
      <c r="P52" s="52"/>
      <c r="Q52" s="52"/>
      <c r="R52" s="52"/>
      <c r="T52" s="52"/>
    </row>
    <row r="53" spans="9:21" x14ac:dyDescent="0.2">
      <c r="I53" s="52"/>
      <c r="J53" s="52"/>
      <c r="K53" s="52"/>
      <c r="M53" s="52"/>
      <c r="N53" s="52"/>
      <c r="P53" s="52"/>
      <c r="R53" s="52"/>
      <c r="T53" s="52"/>
    </row>
    <row r="54" spans="9:21" x14ac:dyDescent="0.2">
      <c r="P54" s="52"/>
      <c r="R54" s="52"/>
      <c r="T54" s="52"/>
    </row>
    <row r="55" spans="9:21" x14ac:dyDescent="0.2">
      <c r="P55" s="52"/>
    </row>
    <row r="56" spans="9:21" x14ac:dyDescent="0.2">
      <c r="P56" s="52"/>
    </row>
  </sheetData>
  <sortState ref="C2:C6">
    <sortCondition ref="C1"/>
  </sortState>
  <mergeCells count="1">
    <mergeCell ref="I1:J1"/>
  </mergeCells>
  <phoneticPr fontId="4" type="noConversion"/>
  <hyperlinks>
    <hyperlink ref="L7" r:id="rId1"/>
  </hyperlinks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tabSelected="1" zoomScaleNormal="100" workbookViewId="0">
      <selection activeCell="U1" sqref="U1"/>
    </sheetView>
  </sheetViews>
  <sheetFormatPr defaultRowHeight="12.75" x14ac:dyDescent="0.2"/>
  <cols>
    <col min="1" max="1" width="28" bestFit="1" customWidth="1"/>
    <col min="2" max="2" width="12.42578125" bestFit="1" customWidth="1"/>
    <col min="3" max="3" width="16.5703125" bestFit="1" customWidth="1"/>
    <col min="4" max="4" width="4" bestFit="1" customWidth="1"/>
    <col min="5" max="5" width="31.28515625" bestFit="1" customWidth="1"/>
    <col min="6" max="6" width="5.7109375" bestFit="1" customWidth="1"/>
    <col min="8" max="9" width="12.7109375" bestFit="1" customWidth="1"/>
    <col min="11" max="20" width="0" hidden="1" customWidth="1"/>
  </cols>
  <sheetData>
    <row r="1" spans="1:10" x14ac:dyDescent="0.2">
      <c r="A1" t="s">
        <v>206</v>
      </c>
      <c r="B1" s="70" t="s">
        <v>101</v>
      </c>
      <c r="C1" s="39" t="s">
        <v>209</v>
      </c>
      <c r="D1">
        <v>1</v>
      </c>
      <c r="E1" s="39" t="s">
        <v>226</v>
      </c>
      <c r="F1" t="s">
        <v>215</v>
      </c>
      <c r="G1" t="s">
        <v>204</v>
      </c>
      <c r="I1">
        <v>1</v>
      </c>
      <c r="J1">
        <v>2017</v>
      </c>
    </row>
    <row r="2" spans="1:10" x14ac:dyDescent="0.2">
      <c r="A2" s="3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zoomScaleNormal="100" workbookViewId="0">
      <selection activeCell="E30" sqref="E30"/>
    </sheetView>
  </sheetViews>
  <sheetFormatPr defaultRowHeight="12.75" x14ac:dyDescent="0.2"/>
  <cols>
    <col min="1" max="1" width="14.28515625" customWidth="1"/>
    <col min="2" max="2" width="16.85546875" bestFit="1" customWidth="1"/>
    <col min="3" max="4" width="20.140625" bestFit="1" customWidth="1"/>
    <col min="5" max="5" width="24.85546875" bestFit="1" customWidth="1"/>
    <col min="11" max="20" width="9.140625" customWidth="1"/>
  </cols>
  <sheetData>
    <row r="1" spans="1:11" x14ac:dyDescent="0.2">
      <c r="A1" s="59" t="s">
        <v>168</v>
      </c>
      <c r="B1" s="61" t="s">
        <v>101</v>
      </c>
      <c r="C1" s="61" t="s">
        <v>78</v>
      </c>
      <c r="D1" s="61" t="s">
        <v>170</v>
      </c>
      <c r="E1" s="61" t="s">
        <v>171</v>
      </c>
      <c r="F1" s="61" t="s">
        <v>189</v>
      </c>
    </row>
    <row r="2" spans="1:11" x14ac:dyDescent="0.2">
      <c r="A2" s="59" t="s">
        <v>169</v>
      </c>
      <c r="B2" s="69" t="s">
        <v>209</v>
      </c>
      <c r="C2" s="60" t="s">
        <v>175</v>
      </c>
      <c r="D2" s="60" t="s">
        <v>181</v>
      </c>
      <c r="E2" s="60" t="s">
        <v>185</v>
      </c>
      <c r="F2" s="63" t="s">
        <v>32</v>
      </c>
      <c r="J2" s="84"/>
      <c r="K2" s="84"/>
    </row>
    <row r="3" spans="1:11" x14ac:dyDescent="0.2">
      <c r="B3" s="60" t="s">
        <v>172</v>
      </c>
      <c r="C3" s="60" t="s">
        <v>176</v>
      </c>
      <c r="D3" s="60" t="s">
        <v>182</v>
      </c>
      <c r="E3" s="60" t="s">
        <v>186</v>
      </c>
      <c r="F3" s="62"/>
      <c r="J3" s="62"/>
      <c r="K3" s="62"/>
    </row>
    <row r="4" spans="1:11" x14ac:dyDescent="0.2">
      <c r="B4" s="60" t="s">
        <v>173</v>
      </c>
      <c r="C4" s="60" t="s">
        <v>177</v>
      </c>
      <c r="D4" s="60" t="s">
        <v>183</v>
      </c>
      <c r="E4" s="60" t="s">
        <v>187</v>
      </c>
      <c r="F4" s="62"/>
      <c r="J4" s="62"/>
      <c r="K4" s="62"/>
    </row>
    <row r="5" spans="1:11" x14ac:dyDescent="0.2">
      <c r="B5" s="60" t="s">
        <v>174</v>
      </c>
      <c r="C5" s="60" t="s">
        <v>178</v>
      </c>
      <c r="D5" s="60" t="s">
        <v>184</v>
      </c>
      <c r="E5" s="60" t="s">
        <v>188</v>
      </c>
      <c r="F5" s="62"/>
      <c r="J5" s="62"/>
      <c r="K5" s="62"/>
    </row>
    <row r="6" spans="1:11" x14ac:dyDescent="0.2">
      <c r="B6" s="60" t="s">
        <v>32</v>
      </c>
      <c r="C6" s="60" t="s">
        <v>179</v>
      </c>
      <c r="D6" s="60" t="s">
        <v>32</v>
      </c>
      <c r="E6" s="60" t="s">
        <v>32</v>
      </c>
      <c r="F6" s="62"/>
      <c r="J6" s="62"/>
      <c r="K6" s="62"/>
    </row>
    <row r="7" spans="1:11" x14ac:dyDescent="0.2">
      <c r="B7" s="62"/>
      <c r="C7" s="60" t="s">
        <v>180</v>
      </c>
      <c r="D7" s="62"/>
      <c r="E7" s="62"/>
      <c r="F7" s="62"/>
      <c r="J7" s="62"/>
      <c r="K7" s="62"/>
    </row>
    <row r="8" spans="1:11" x14ac:dyDescent="0.2">
      <c r="B8" s="62"/>
      <c r="C8" s="60" t="s">
        <v>32</v>
      </c>
      <c r="D8" s="62"/>
      <c r="E8" s="62"/>
      <c r="F8" s="62"/>
      <c r="J8" s="62"/>
      <c r="K8" s="62"/>
    </row>
    <row r="9" spans="1:11" x14ac:dyDescent="0.2">
      <c r="B9" s="62"/>
      <c r="C9" s="62"/>
      <c r="D9" s="62"/>
      <c r="E9" s="62"/>
      <c r="F9" s="62"/>
      <c r="J9" s="62"/>
      <c r="K9" s="62"/>
    </row>
    <row r="10" spans="1:11" x14ac:dyDescent="0.2">
      <c r="B10" s="58"/>
    </row>
    <row r="13" spans="1:11" x14ac:dyDescent="0.2">
      <c r="H13" s="84"/>
    </row>
    <row r="14" spans="1:11" x14ac:dyDescent="0.2">
      <c r="H14" s="85"/>
    </row>
    <row r="15" spans="1:11" x14ac:dyDescent="0.2">
      <c r="H15" s="62"/>
    </row>
    <row r="16" spans="1:11" x14ac:dyDescent="0.2">
      <c r="H16" s="62"/>
    </row>
    <row r="17" spans="8:8" x14ac:dyDescent="0.2">
      <c r="H17" s="62"/>
    </row>
    <row r="18" spans="8:8" x14ac:dyDescent="0.2">
      <c r="H18" s="6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45</vt:i4>
      </vt:variant>
    </vt:vector>
  </HeadingPairs>
  <TitlesOfParts>
    <vt:vector size="49" baseType="lpstr">
      <vt:lpstr>Relatório de conclusão</vt:lpstr>
      <vt:lpstr>Folha de apoio</vt:lpstr>
      <vt:lpstr>Data</vt:lpstr>
      <vt:lpstr>Folha de Apoio 2</vt:lpstr>
      <vt:lpstr>Alteracao_num</vt:lpstr>
      <vt:lpstr>Bemi</vt:lpstr>
      <vt:lpstr>Bemi_Bezeichnung</vt:lpstr>
      <vt:lpstr>Descricao_altera1</vt:lpstr>
      <vt:lpstr>Descricao_altera10</vt:lpstr>
      <vt:lpstr>Descricao_altera11</vt:lpstr>
      <vt:lpstr>Descricao_altera12</vt:lpstr>
      <vt:lpstr>Descricao_altera13</vt:lpstr>
      <vt:lpstr>Descricao_altera14</vt:lpstr>
      <vt:lpstr>Descricao_altera15</vt:lpstr>
      <vt:lpstr>Descricao_altera16</vt:lpstr>
      <vt:lpstr>Descricao_altera17</vt:lpstr>
      <vt:lpstr>Descricao_altera18</vt:lpstr>
      <vt:lpstr>Descricao_altera19</vt:lpstr>
      <vt:lpstr>Descricao_altera2</vt:lpstr>
      <vt:lpstr>Descricao_altera20</vt:lpstr>
      <vt:lpstr>Descricao_altera21</vt:lpstr>
      <vt:lpstr>Descricao_altera22</vt:lpstr>
      <vt:lpstr>Descricao_altera23</vt:lpstr>
      <vt:lpstr>Descricao_altera24</vt:lpstr>
      <vt:lpstr>Descricao_altera25</vt:lpstr>
      <vt:lpstr>Descricao_altera26</vt:lpstr>
      <vt:lpstr>Descricao_altera27</vt:lpstr>
      <vt:lpstr>Descricao_altera28</vt:lpstr>
      <vt:lpstr>Descricao_altera29</vt:lpstr>
      <vt:lpstr>Descricao_altera3</vt:lpstr>
      <vt:lpstr>Descricao_altera30</vt:lpstr>
      <vt:lpstr>Descricao_altera4</vt:lpstr>
      <vt:lpstr>Descricao_altera5</vt:lpstr>
      <vt:lpstr>Descricao_altera6</vt:lpstr>
      <vt:lpstr>Descricao_altera7</vt:lpstr>
      <vt:lpstr>Descricao_altera8</vt:lpstr>
      <vt:lpstr>Descricao_altera9</vt:lpstr>
      <vt:lpstr>Meldung</vt:lpstr>
      <vt:lpstr>MeldungDatum</vt:lpstr>
      <vt:lpstr>meldungen</vt:lpstr>
      <vt:lpstr>NC_num</vt:lpstr>
      <vt:lpstr>OP</vt:lpstr>
      <vt:lpstr>Outros</vt:lpstr>
      <vt:lpstr>'Relatório de conclusão'!Print_Area</vt:lpstr>
      <vt:lpstr>Projekt</vt:lpstr>
      <vt:lpstr>Projeto</vt:lpstr>
      <vt:lpstr>Teilnummer</vt:lpstr>
      <vt:lpstr>Verantwortlicher</vt:lpstr>
      <vt:lpstr>VerantwortlicherTelefon</vt:lpstr>
    </vt:vector>
  </TitlesOfParts>
  <Company>VOLKSWAGEN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Leal, Rodrigo-Jose</dc:creator>
  <cp:lastModifiedBy>frodo</cp:lastModifiedBy>
  <cp:lastPrinted>2017-05-09T09:54:29Z</cp:lastPrinted>
  <dcterms:created xsi:type="dcterms:W3CDTF">2009-03-31T13:55:51Z</dcterms:created>
  <dcterms:modified xsi:type="dcterms:W3CDTF">2017-05-09T13:46:32Z</dcterms:modified>
</cp:coreProperties>
</file>
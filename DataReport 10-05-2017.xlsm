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8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9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0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11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drawings/drawing12.xml" ContentType="application/vnd.openxmlformats-officedocument.drawing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13.xml" ContentType="application/vnd.openxmlformats-officedocument.drawing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drawings/drawing14.xml" ContentType="application/vnd.openxmlformats-officedocument.drawing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15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drawings/drawing16.xml" ContentType="application/vnd.openxmlformats-officedocument.drawing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17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18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drawings/drawing19.xml" ContentType="application/vnd.openxmlformats-officedocument.drawing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drawings/drawing20.xml" ContentType="application/vnd.openxmlformats-officedocument.drawing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drawings/drawing21.xml" ContentType="application/vnd.openxmlformats-officedocument.drawing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drawings/drawing22.xml" ContentType="application/vnd.openxmlformats-officedocument.drawing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drawings/drawing23.xml" ContentType="application/vnd.openxmlformats-officedocument.drawing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drawings/drawing24.xml" ContentType="application/vnd.openxmlformats-officedocument.drawing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drawings/drawing25.xml" ContentType="application/vnd.openxmlformats-officedocument.drawing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135" yWindow="405" windowWidth="9780" windowHeight="11580" activeTab="3"/>
  </bookViews>
  <sheets>
    <sheet name="Report Total" sheetId="6" r:id="rId1"/>
    <sheet name="Report Template (23)" sheetId="1789" r:id="rId2"/>
    <sheet name="Report Template (22)" sheetId="1788" r:id="rId3"/>
    <sheet name="Report Template (21)" sheetId="1787" r:id="rId4"/>
    <sheet name="Report Template (20)" sheetId="1786" r:id="rId5"/>
    <sheet name="Report Template (19)" sheetId="1785" r:id="rId6"/>
    <sheet name="Report Template (18)" sheetId="1784" r:id="rId7"/>
    <sheet name="Report Template (17)" sheetId="1783" r:id="rId8"/>
    <sheet name="Report Template (16)" sheetId="1782" r:id="rId9"/>
    <sheet name="Report Template (15)" sheetId="1781" r:id="rId10"/>
    <sheet name="Report Template (14)" sheetId="1780" r:id="rId11"/>
    <sheet name="Report Template (13)" sheetId="1779" r:id="rId12"/>
    <sheet name="Report Template (12)" sheetId="1778" r:id="rId13"/>
    <sheet name="Report Template (11)" sheetId="1777" r:id="rId14"/>
    <sheet name="Report Template (10)" sheetId="1776" r:id="rId15"/>
    <sheet name="Report Template (9)" sheetId="1775" r:id="rId16"/>
    <sheet name="Report Template (8)" sheetId="1774" r:id="rId17"/>
    <sheet name="Report Template (7)" sheetId="1773" r:id="rId18"/>
    <sheet name="Report Template (6)" sheetId="1772" r:id="rId19"/>
    <sheet name="Report Template (5)" sheetId="1771" r:id="rId20"/>
    <sheet name="Report Template (4)" sheetId="1770" r:id="rId21"/>
    <sheet name="Report Template (3)" sheetId="1769" r:id="rId22"/>
    <sheet name="Report Template (2)" sheetId="1768" r:id="rId23"/>
    <sheet name="Report Template" sheetId="11" state="hidden" r:id="rId24"/>
    <sheet name="Report Por Projeto" sheetId="5" state="hidden" r:id="rId25"/>
    <sheet name="RefDaten" sheetId="9" state="hidden" r:id="rId26"/>
    <sheet name="NC" sheetId="1" state="hidden" r:id="rId27"/>
    <sheet name="Melhorias" sheetId="2" state="hidden" r:id="rId28"/>
    <sheet name="AltEng" sheetId="3" state="hidden" r:id="rId29"/>
    <sheet name="Outros" sheetId="4" state="hidden" r:id="rId30"/>
    <sheet name="Folha de Apoio" sheetId="10" state="hidden" r:id="rId31"/>
    <sheet name="Folha de Apoio2" sheetId="235" state="hidden" r:id="rId32"/>
  </sheets>
  <functionGroups builtInGroupCount="17"/>
  <definedNames>
    <definedName name="AlteraçãoEng" localSheetId="28">AltEng!#REF!</definedName>
    <definedName name="AlteraçãoEng_1" localSheetId="28">AltEng!#REF!</definedName>
    <definedName name="AlteraçãoEng_2" localSheetId="28">AltEng!$A$73:$A$73</definedName>
    <definedName name="AlteraçãoEng_3" localSheetId="28">AltEng!$A$73:$A$73</definedName>
    <definedName name="AlteraçãoEng_4" localSheetId="28">AltEng!$A$1:$A$73</definedName>
    <definedName name="Melhorias" localSheetId="27">Melhorias!$A$1:$A$297</definedName>
    <definedName name="NC" localSheetId="26">NC!$A$1:$A$254</definedName>
    <definedName name="Outros" localSheetId="29">Outros!$A$1:$A$706</definedName>
    <definedName name="_xlnm.Print_Area" localSheetId="24">'Report Por Projeto'!$A$1:$S$90</definedName>
    <definedName name="_xlnm.Print_Area" localSheetId="23">'Report Template'!$A$1:$S$142</definedName>
    <definedName name="_xlnm.Print_Area" localSheetId="14">'Report Template (10)'!$A$1:$S$142</definedName>
    <definedName name="_xlnm.Print_Area" localSheetId="13">'Report Template (11)'!$A$1:$S$142</definedName>
    <definedName name="_xlnm.Print_Area" localSheetId="12">'Report Template (12)'!$A$1:$S$142</definedName>
    <definedName name="_xlnm.Print_Area" localSheetId="11">'Report Template (13)'!$A$1:$S$142</definedName>
    <definedName name="_xlnm.Print_Area" localSheetId="10">'Report Template (14)'!$A$1:$S$142</definedName>
    <definedName name="_xlnm.Print_Area" localSheetId="9">'Report Template (15)'!$A$1:$S$142</definedName>
    <definedName name="_xlnm.Print_Area" localSheetId="8">'Report Template (16)'!$A$1:$S$142</definedName>
    <definedName name="_xlnm.Print_Area" localSheetId="7">'Report Template (17)'!$A$1:$S$142</definedName>
    <definedName name="_xlnm.Print_Area" localSheetId="6">'Report Template (18)'!$A$1:$S$142</definedName>
    <definedName name="_xlnm.Print_Area" localSheetId="5">'Report Template (19)'!$A$1:$S$142</definedName>
    <definedName name="_xlnm.Print_Area" localSheetId="22">'Report Template (2)'!$A$1:$S$142</definedName>
    <definedName name="_xlnm.Print_Area" localSheetId="4">'Report Template (20)'!$A$1:$S$142</definedName>
    <definedName name="_xlnm.Print_Area" localSheetId="3">'Report Template (21)'!$A$1:$S$142</definedName>
    <definedName name="_xlnm.Print_Area" localSheetId="2">'Report Template (22)'!$A$1:$S$142</definedName>
    <definedName name="_xlnm.Print_Area" localSheetId="1">'Report Template (23)'!$A$1:$S$142</definedName>
    <definedName name="_xlnm.Print_Area" localSheetId="21">'Report Template (3)'!$A$1:$S$142</definedName>
    <definedName name="_xlnm.Print_Area" localSheetId="20">'Report Template (4)'!$A$1:$S$142</definedName>
    <definedName name="_xlnm.Print_Area" localSheetId="19">'Report Template (5)'!$A$1:$S$142</definedName>
    <definedName name="_xlnm.Print_Area" localSheetId="18">'Report Template (6)'!$A$1:$S$142</definedName>
    <definedName name="_xlnm.Print_Area" localSheetId="17">'Report Template (7)'!$A$1:$S$142</definedName>
    <definedName name="_xlnm.Print_Area" localSheetId="16">'Report Template (8)'!$A$1:$S$142</definedName>
    <definedName name="_xlnm.Print_Area" localSheetId="15">'Report Template (9)'!$A$1:$S$142</definedName>
    <definedName name="_xlnm.Print_Area" localSheetId="0">'Report Total'!$A$1:$S$142</definedName>
    <definedName name="RefDaten" localSheetId="25">RefDaten!$A$1:$A$513</definedName>
  </definedNames>
  <calcPr calcId="145621"/>
</workbook>
</file>

<file path=xl/calcChain.xml><?xml version="1.0" encoding="utf-8"?>
<calcChain xmlns="http://schemas.openxmlformats.org/spreadsheetml/2006/main">
  <c r="F8" i="1789" l="1"/>
  <c r="E8" i="1789"/>
  <c r="AB7" i="1789"/>
  <c r="AA7" i="1789"/>
  <c r="F6" i="1789"/>
  <c r="E6" i="1789"/>
  <c r="F4" i="1789"/>
  <c r="E4" i="1789"/>
  <c r="F8" i="1788"/>
  <c r="E8" i="1788"/>
  <c r="AB7" i="1788"/>
  <c r="AA7" i="1788"/>
  <c r="F6" i="1788"/>
  <c r="E6" i="1788"/>
  <c r="F4" i="1788"/>
  <c r="E4" i="1788"/>
  <c r="F8" i="1787"/>
  <c r="E8" i="1787"/>
  <c r="AB7" i="1787"/>
  <c r="AA7" i="1787"/>
  <c r="F6" i="1787"/>
  <c r="E6" i="1787"/>
  <c r="F4" i="1787"/>
  <c r="E4" i="1787"/>
  <c r="F8" i="1786"/>
  <c r="E8" i="1786"/>
  <c r="AB7" i="1786"/>
  <c r="AA7" i="1786"/>
  <c r="F6" i="1786"/>
  <c r="E6" i="1786"/>
  <c r="F4" i="1786"/>
  <c r="E4" i="1786"/>
  <c r="F8" i="1785"/>
  <c r="E8" i="1785"/>
  <c r="AB7" i="1785"/>
  <c r="AA7" i="1785"/>
  <c r="F6" i="1785"/>
  <c r="E6" i="1785"/>
  <c r="F4" i="1785"/>
  <c r="E4" i="1785"/>
  <c r="F8" i="1784"/>
  <c r="E8" i="1784"/>
  <c r="AB7" i="1784"/>
  <c r="AA7" i="1784"/>
  <c r="F6" i="1784"/>
  <c r="E6" i="1784"/>
  <c r="F4" i="1784"/>
  <c r="E4" i="1784"/>
  <c r="F8" i="1783"/>
  <c r="E8" i="1783"/>
  <c r="AB7" i="1783"/>
  <c r="AA7" i="1783"/>
  <c r="F6" i="1783"/>
  <c r="E6" i="1783"/>
  <c r="F4" i="1783"/>
  <c r="E4" i="1783"/>
  <c r="F8" i="1782"/>
  <c r="E8" i="1782"/>
  <c r="AB7" i="1782"/>
  <c r="AA7" i="1782"/>
  <c r="F6" i="1782"/>
  <c r="E6" i="1782"/>
  <c r="F4" i="1782"/>
  <c r="E4" i="1782"/>
  <c r="F8" i="1781"/>
  <c r="E8" i="1781"/>
  <c r="AB7" i="1781"/>
  <c r="AA7" i="1781"/>
  <c r="F6" i="1781"/>
  <c r="E6" i="1781"/>
  <c r="F4" i="1781"/>
  <c r="E4" i="1781"/>
  <c r="F8" i="1780"/>
  <c r="E8" i="1780"/>
  <c r="AB7" i="1780"/>
  <c r="AA7" i="1780"/>
  <c r="F6" i="1780"/>
  <c r="E6" i="1780"/>
  <c r="F4" i="1780"/>
  <c r="E4" i="1780"/>
  <c r="F8" i="1779"/>
  <c r="E8" i="1779"/>
  <c r="AB7" i="1779"/>
  <c r="AA7" i="1779"/>
  <c r="F6" i="1779"/>
  <c r="E6" i="1779"/>
  <c r="F4" i="1779"/>
  <c r="E4" i="1779"/>
  <c r="F8" i="1778"/>
  <c r="E8" i="1778"/>
  <c r="AB7" i="1778"/>
  <c r="AA7" i="1778"/>
  <c r="F6" i="1778"/>
  <c r="E6" i="1778"/>
  <c r="F4" i="1778"/>
  <c r="E4" i="1778"/>
  <c r="F8" i="1777"/>
  <c r="E8" i="1777"/>
  <c r="AB7" i="1777"/>
  <c r="AA7" i="1777"/>
  <c r="F6" i="1777"/>
  <c r="E6" i="1777"/>
  <c r="F4" i="1777"/>
  <c r="E4" i="1777"/>
  <c r="F8" i="1776"/>
  <c r="E8" i="1776"/>
  <c r="AB7" i="1776"/>
  <c r="AA7" i="1776"/>
  <c r="F6" i="1776"/>
  <c r="E6" i="1776"/>
  <c r="F4" i="1776"/>
  <c r="E4" i="1776"/>
  <c r="F8" i="1775"/>
  <c r="E8" i="1775"/>
  <c r="AB7" i="1775"/>
  <c r="AA7" i="1775"/>
  <c r="F6" i="1775"/>
  <c r="E6" i="1775"/>
  <c r="F4" i="1775"/>
  <c r="E4" i="1775"/>
  <c r="F8" i="1774"/>
  <c r="E8" i="1774"/>
  <c r="AB7" i="1774"/>
  <c r="AA7" i="1774"/>
  <c r="F6" i="1774"/>
  <c r="E6" i="1774"/>
  <c r="F4" i="1774"/>
  <c r="E4" i="1774"/>
  <c r="F8" i="1773"/>
  <c r="E8" i="1773"/>
  <c r="AB7" i="1773"/>
  <c r="AA7" i="1773"/>
  <c r="F6" i="1773"/>
  <c r="E6" i="1773"/>
  <c r="F4" i="1773"/>
  <c r="E4" i="1773"/>
  <c r="F8" i="1772"/>
  <c r="E8" i="1772"/>
  <c r="AB7" i="1772"/>
  <c r="AA7" i="1772"/>
  <c r="F6" i="1772"/>
  <c r="E6" i="1772"/>
  <c r="F4" i="1772"/>
  <c r="E4" i="1772"/>
  <c r="F8" i="1771"/>
  <c r="E8" i="1771"/>
  <c r="AB7" i="1771"/>
  <c r="AA7" i="1771"/>
  <c r="F6" i="1771"/>
  <c r="E6" i="1771"/>
  <c r="F4" i="1771"/>
  <c r="E4" i="1771"/>
  <c r="F8" i="1770"/>
  <c r="E8" i="1770"/>
  <c r="AB7" i="1770"/>
  <c r="AA7" i="1770"/>
  <c r="F6" i="1770"/>
  <c r="E6" i="1770"/>
  <c r="F4" i="1770"/>
  <c r="E4" i="1770"/>
  <c r="F8" i="1769"/>
  <c r="E8" i="1769"/>
  <c r="AB7" i="1769"/>
  <c r="AA7" i="1769"/>
  <c r="F6" i="1769"/>
  <c r="E6" i="1769"/>
  <c r="F4" i="1769"/>
  <c r="E4" i="1769"/>
  <c r="F8" i="1768"/>
  <c r="E8" i="1768"/>
  <c r="AB7" i="1768"/>
  <c r="AA7" i="1768"/>
  <c r="F6" i="1768"/>
  <c r="E6" i="1768"/>
  <c r="F4" i="1768"/>
  <c r="E4" i="1768"/>
  <c r="AB7" i="11" l="1"/>
  <c r="AA7" i="11"/>
  <c r="AB7" i="6" l="1"/>
  <c r="I4" i="6" l="1"/>
  <c r="AA14" i="6"/>
  <c r="F8" i="11"/>
  <c r="E8" i="11"/>
  <c r="F6" i="11"/>
  <c r="E6" i="11"/>
  <c r="F4" i="11"/>
  <c r="E4" i="11"/>
  <c r="AA7" i="6" l="1"/>
  <c r="C5" i="5" l="1"/>
  <c r="C230" i="5" l="1"/>
  <c r="C185" i="5"/>
  <c r="AA7" i="5"/>
  <c r="C140" i="5" l="1"/>
  <c r="C95" i="5"/>
  <c r="C50" i="5"/>
</calcChain>
</file>

<file path=xl/connections.xml><?xml version="1.0" encoding="utf-8"?>
<connections xmlns="http://schemas.openxmlformats.org/spreadsheetml/2006/main">
  <connection id="1" name="AlteraçãoEng" type="6" refreshedVersion="4" background="1" refreshOnLoad="1" saveData="1">
    <textPr prompt="0" sourceFile="R:\AG_GRUPOS_TRABALHO\AG020_METODO_E_PROJECTO\150_Indicadores\files\AlteraçãoEng.txt" decimal="," thousands=".">
      <textFields>
        <textField type="text"/>
      </textFields>
    </textPr>
  </connection>
  <connection id="2" name="AlteraçãoEng2" type="6" refreshedVersion="4" deleted="1" background="1" saveData="1">
    <textPr sourceFile="O:\070_Users\Mathews_dzpgv9f\Relatorios\AlteraçãoEng.txt" decimal="," thousands=".">
      <textFields>
        <textField/>
      </textFields>
    </textPr>
  </connection>
  <connection id="3" name="AlteraçãoEng3" type="6" refreshedVersion="4" deleted="1" background="1" saveData="1">
    <textPr sourceFile="O:\070_Users\Mathews_dzpgv9f\Relatorios\AlteraçãoEng.txt" decimal="," thousands=".">
      <textFields>
        <textField type="text"/>
      </textFields>
    </textPr>
  </connection>
  <connection id="4" name="Melhorias" type="6" refreshedVersion="4" background="1" refreshOnLoad="1" saveData="1">
    <textPr prompt="0" sourceFile="R:\AG_GRUPOS_TRABALHO\AG020_METODO_E_PROJECTO\150_Indicadores\files\Melhorias.txt" decimal="," thousands=".">
      <textFields>
        <textField type="text"/>
      </textFields>
    </textPr>
  </connection>
  <connection id="5" name="NC" type="6" refreshedVersion="4" background="1" refreshOnLoad="1" saveData="1">
    <textPr prompt="0" sourceFile="R:\AG_GRUPOS_TRABALHO\AG020_METODO_E_PROJECTO\150_Indicadores\files\NC.txt" decimal="," thousands=".">
      <textFields>
        <textField type="text"/>
      </textFields>
    </textPr>
  </connection>
  <connection id="6" name="Outros" type="6" refreshedVersion="4" background="1" refreshOnLoad="1" saveData="1">
    <textPr prompt="0" sourceFile="R:\AG_GRUPOS_TRABALHO\AG020_METODO_E_PROJECTO\150_Indicadores\files\Outros.txt" decimal="," thousands=".">
      <textFields>
        <textField type="text"/>
      </textFields>
    </textPr>
  </connection>
  <connection id="7" name="RefDaten" type="6" refreshedVersion="4" background="1" refreshOnLoad="1" saveData="1">
    <textPr prompt="0" sourceFile="R:\AG_GRUPOS_TRABALHO\AG020_METODO_E_PROJECTO\150_Indicadores\files\RefDaten.txt" decimal="," thousands=".">
      <textFields>
        <textField type="text"/>
      </textFields>
    </textPr>
  </connection>
</connections>
</file>

<file path=xl/sharedStrings.xml><?xml version="1.0" encoding="utf-8"?>
<sst xmlns="http://schemas.openxmlformats.org/spreadsheetml/2006/main" count="2767" uniqueCount="487">
  <si>
    <t>Relatorios Outros</t>
  </si>
  <si>
    <t>Outras</t>
  </si>
  <si>
    <t>Total de Relatórios</t>
  </si>
  <si>
    <t>Volkswagen Autoeuropa, Lda. - UNCC_Cad</t>
  </si>
  <si>
    <t>Relatórios</t>
  </si>
  <si>
    <t>NCs</t>
  </si>
  <si>
    <t>LineBreak</t>
  </si>
  <si>
    <t>Die Design</t>
  </si>
  <si>
    <t>Método Plano</t>
  </si>
  <si>
    <t>Total NC</t>
  </si>
  <si>
    <t>Total Melhorias / Protocol Aceitação Modelos</t>
  </si>
  <si>
    <t>Total Alteração de Engenharia</t>
  </si>
  <si>
    <t>Total Outros</t>
  </si>
  <si>
    <t>Outros</t>
  </si>
  <si>
    <t>Sucata</t>
  </si>
  <si>
    <t>Verificação</t>
  </si>
  <si>
    <t>Conceito</t>
  </si>
  <si>
    <t xml:space="preserve">                                                                                                                                                                                                                </t>
  </si>
  <si>
    <t>2016</t>
  </si>
  <si>
    <t>Defeito Superficies</t>
  </si>
  <si>
    <t>NCs Método Plano</t>
  </si>
  <si>
    <t>Ângulos de Corte</t>
  </si>
  <si>
    <t>Xmasse</t>
  </si>
  <si>
    <t>NC's Die Design</t>
  </si>
  <si>
    <t>Colisão</t>
  </si>
  <si>
    <t>Templates Internos</t>
  </si>
  <si>
    <t>Funcional</t>
  </si>
  <si>
    <t>Marcadores</t>
  </si>
  <si>
    <t>Druchbild</t>
  </si>
  <si>
    <t>Falha Material</t>
  </si>
  <si>
    <t>Material Errado</t>
  </si>
  <si>
    <t>Relatórios NC</t>
  </si>
  <si>
    <t>Simulação</t>
  </si>
  <si>
    <t>Relatorios Alt.Eng.</t>
  </si>
  <si>
    <t>NC's Dados de Referência</t>
  </si>
  <si>
    <t>Superfícies</t>
  </si>
  <si>
    <t>Facas/Alterar Corte</t>
  </si>
  <si>
    <t>Chochos/Poros de Fundição</t>
  </si>
  <si>
    <t>Fundição Empenada</t>
  </si>
  <si>
    <t>NC´s Modelos Esferovite</t>
  </si>
  <si>
    <t>Modelos Esferovite</t>
  </si>
  <si>
    <t>Dados de Referência</t>
  </si>
  <si>
    <t>Relatorio Melhorias</t>
  </si>
  <si>
    <t>Relatório Ref Daten</t>
  </si>
  <si>
    <t>Die Design Final</t>
  </si>
  <si>
    <t>AU270 - Audi A1 - 82A.823.105_155 - 2016</t>
  </si>
  <si>
    <t>OP20</t>
  </si>
  <si>
    <t>21-72D366315</t>
  </si>
  <si>
    <t>Ziehwerkzeug</t>
  </si>
  <si>
    <t>KD00</t>
  </si>
  <si>
    <t>Total Dados de Referência / Correções Dimensional</t>
  </si>
  <si>
    <t>VW276_EU - 2GA.823.105 - 2016</t>
  </si>
  <si>
    <t>OP70</t>
  </si>
  <si>
    <t>43-72D 359064</t>
  </si>
  <si>
    <t>Nachform-Werkzeug</t>
  </si>
  <si>
    <t>NCM 002 003</t>
  </si>
  <si>
    <t>VW276_EU - 2GA.823.179_180 - 2016</t>
  </si>
  <si>
    <t>OP60</t>
  </si>
  <si>
    <t>1</t>
  </si>
  <si>
    <t>Melhorias / Protocolo Aceitação</t>
  </si>
  <si>
    <t>MQB_A1 - 5Q0.803.107 - 2016</t>
  </si>
  <si>
    <t>43-72D356124</t>
  </si>
  <si>
    <t>KD07</t>
  </si>
  <si>
    <t>43-72D354473</t>
  </si>
  <si>
    <t>Beschneide -Loch - Werkzeug</t>
  </si>
  <si>
    <t>KD13</t>
  </si>
  <si>
    <t>Die desing final</t>
  </si>
  <si>
    <t>AU270 - Audi A1 - 82G.831.111_112_311_312 - 2016</t>
  </si>
  <si>
    <t>21-72D364932</t>
  </si>
  <si>
    <t>Nachform-Beschneide-Werkzeug</t>
  </si>
  <si>
    <t>KD0</t>
  </si>
  <si>
    <t>DIE DESIGN FINAL</t>
  </si>
  <si>
    <t>21-72D364933</t>
  </si>
  <si>
    <t>Projetos</t>
  </si>
  <si>
    <t>MQB_A0</t>
  </si>
  <si>
    <t>MQB_A1</t>
  </si>
  <si>
    <t>MQB_B_PHEV</t>
  </si>
  <si>
    <t>VW270 - Polo</t>
  </si>
  <si>
    <t>VW271 - LAK_Polo</t>
  </si>
  <si>
    <t>VW276_EU</t>
  </si>
  <si>
    <t>VW276_CN</t>
  </si>
  <si>
    <t>VW376 - Tiguan</t>
  </si>
  <si>
    <t>VW378 - Touran</t>
  </si>
  <si>
    <t>VW379 - Golf_A7_Plus</t>
  </si>
  <si>
    <t>VW483_EU - Passat CC</t>
  </si>
  <si>
    <t>VW483_CN - Passat CC</t>
  </si>
  <si>
    <t>AU270 - Audi A1</t>
  </si>
  <si>
    <t>Porsche_C7NF</t>
  </si>
  <si>
    <t>Peças</t>
  </si>
  <si>
    <t>2Q0.805.397_398</t>
  </si>
  <si>
    <t>5Q0.803.105</t>
  </si>
  <si>
    <t>3Q0.813.115</t>
  </si>
  <si>
    <t>2G0.823.105</t>
  </si>
  <si>
    <t>6EC.827.159</t>
  </si>
  <si>
    <t>2GA.823.179_180</t>
  </si>
  <si>
    <t>2GD.831.311_312</t>
  </si>
  <si>
    <t>5NA.813.305</t>
  </si>
  <si>
    <t>5TA.802.555</t>
  </si>
  <si>
    <t>510.823.105_155</t>
  </si>
  <si>
    <t>3G8.823.105</t>
  </si>
  <si>
    <t>82A.823.105_155</t>
  </si>
  <si>
    <t>981.503.501</t>
  </si>
  <si>
    <t>2Q0.809.121_122</t>
  </si>
  <si>
    <t>5Q0.803.106</t>
  </si>
  <si>
    <t>3Q0.813.116</t>
  </si>
  <si>
    <t>2G0.823.155</t>
  </si>
  <si>
    <t>2GA.821.105</t>
  </si>
  <si>
    <t>5NA.823.105</t>
  </si>
  <si>
    <t>5TA.809.209</t>
  </si>
  <si>
    <t>3G8.823.155</t>
  </si>
  <si>
    <t>82A.823.155</t>
  </si>
  <si>
    <t>5Q0.803.107</t>
  </si>
  <si>
    <t>3Q0.813.115.B</t>
  </si>
  <si>
    <t>2G0.823.198</t>
  </si>
  <si>
    <t>2GA.823.105</t>
  </si>
  <si>
    <t>5NA.823.155</t>
  </si>
  <si>
    <t>5TA.809.210</t>
  </si>
  <si>
    <t>82G.831.111_112_311_312</t>
  </si>
  <si>
    <t>5Q0.803.108</t>
  </si>
  <si>
    <t>3Q0.813.116.B</t>
  </si>
  <si>
    <t>2GA.823.155</t>
  </si>
  <si>
    <t>5NA.823.198</t>
  </si>
  <si>
    <t>5TA.810.143</t>
  </si>
  <si>
    <t>82G.833.311</t>
  </si>
  <si>
    <t>5Q0.803.233_4</t>
  </si>
  <si>
    <t>5NA.831.209</t>
  </si>
  <si>
    <t>5TA.813.305</t>
  </si>
  <si>
    <t>5NA.833.209</t>
  </si>
  <si>
    <t>5TA.813.309</t>
  </si>
  <si>
    <t>5TA.827.105</t>
  </si>
  <si>
    <t>5TA.827.106</t>
  </si>
  <si>
    <t>5TA.827.159</t>
  </si>
  <si>
    <t>5TB.802.555</t>
  </si>
  <si>
    <t>5TC.802.555</t>
  </si>
  <si>
    <t>VW276 - TROC</t>
  </si>
  <si>
    <t>VW216 - TCROSS</t>
  </si>
  <si>
    <t>2GM.823.105</t>
  </si>
  <si>
    <t>2GM.823.155</t>
  </si>
  <si>
    <t>2GM.821.105</t>
  </si>
  <si>
    <t>2GM.831.209</t>
  </si>
  <si>
    <t>2GM.833.209</t>
  </si>
  <si>
    <t>AU270 - Audi A1 - 82A.823.105_155</t>
  </si>
  <si>
    <t>Die design final</t>
  </si>
  <si>
    <t>OP40</t>
  </si>
  <si>
    <t>21-72D366317</t>
  </si>
  <si>
    <t>MQB_A1 - 5Q0.803.107</t>
  </si>
  <si>
    <t>Stand 02-01-2017; Author: M. SANTOS; &lt;2016 CW CAD Group&gt;</t>
  </si>
  <si>
    <t>OP50</t>
  </si>
  <si>
    <t>0</t>
  </si>
  <si>
    <t>Alle Operation</t>
  </si>
  <si>
    <t>K5</t>
  </si>
  <si>
    <t>VW276 - TROC - 2GA.823.105 - 2016</t>
  </si>
  <si>
    <t>43-72D 359062</t>
  </si>
  <si>
    <t>--</t>
  </si>
  <si>
    <t>Die Design Final e Lista de Material Final</t>
  </si>
  <si>
    <t>21-72d366318</t>
  </si>
  <si>
    <t>VW276_EU - 2GA.823.105 - 2017</t>
  </si>
  <si>
    <t>NCM</t>
  </si>
  <si>
    <t>_</t>
  </si>
  <si>
    <t>Beschneide-Werkzeug</t>
  </si>
  <si>
    <t>003_000</t>
  </si>
  <si>
    <t>2017</t>
  </si>
  <si>
    <t>VW276_EU - 2GA.823.105</t>
  </si>
  <si>
    <t>Stand 02-01-2017; Author: M. SANTOS; &lt;2017 CW CAD Group&gt;</t>
  </si>
  <si>
    <t>Reposicionamento dos punções final de curso</t>
  </si>
  <si>
    <t>VW276_EU - 2GA.823.179_180 - 2017</t>
  </si>
  <si>
    <t>NCM 002 002</t>
  </si>
  <si>
    <t>Reposicionamento dos punções marcadores</t>
  </si>
  <si>
    <t>VW276_EU - 2GA.821.105 - 2017</t>
  </si>
  <si>
    <t>D. design e lista de material final</t>
  </si>
  <si>
    <t>AU270 - Audi A1 - 82G.831.111_112_311_312 - 2017</t>
  </si>
  <si>
    <t>21-72D364931</t>
  </si>
  <si>
    <t>Die Design final</t>
  </si>
  <si>
    <t>KD01</t>
  </si>
  <si>
    <t>VW276_EU - 2GA.823.179_180</t>
  </si>
  <si>
    <t>AU270 - Audi A1 - 82G.831.111_112_311_312</t>
  </si>
  <si>
    <t>AU270 - Audi A1 - 82A.823.105_155 - 2017</t>
  </si>
  <si>
    <t>001_000</t>
  </si>
  <si>
    <t>21-72D 366315</t>
  </si>
  <si>
    <t>NCM 000 000</t>
  </si>
  <si>
    <t>001_002</t>
  </si>
  <si>
    <t>Porsche_C7NF - 981.503.501 - 2017</t>
  </si>
  <si>
    <t>001 005</t>
  </si>
  <si>
    <t>002 003</t>
  </si>
  <si>
    <t>NCM 000 001</t>
  </si>
  <si>
    <t>OP10</t>
  </si>
  <si>
    <t>001 001</t>
  </si>
  <si>
    <t>VW378 - Touran - 5TA.809.209 - 2017</t>
  </si>
  <si>
    <t>001 002</t>
  </si>
  <si>
    <t>NCM 001 005</t>
  </si>
  <si>
    <t>MQB_A1 - 5Q0.803.233_4 - 2017</t>
  </si>
  <si>
    <t>43-72D 351543</t>
  </si>
  <si>
    <t>NCM 006 003</t>
  </si>
  <si>
    <t>VW483_CN - Passat CC - 3G8.823.105 - 2017</t>
  </si>
  <si>
    <t>001 003</t>
  </si>
  <si>
    <t>21-72d 366320</t>
  </si>
  <si>
    <t>14</t>
  </si>
  <si>
    <t>MQB_A0 - 2Q0.809.121_122 - 2017</t>
  </si>
  <si>
    <t>43-72D356133</t>
  </si>
  <si>
    <t>KD08</t>
  </si>
  <si>
    <t>21-72D366318</t>
  </si>
  <si>
    <t>21-72D 366317</t>
  </si>
  <si>
    <t>NCM 001 002</t>
  </si>
  <si>
    <t>VW483_CN - Passat CC - 3G8.823.155 - 2017</t>
  </si>
  <si>
    <t>OP30</t>
  </si>
  <si>
    <t>11-72D 359056</t>
  </si>
  <si>
    <t>003 001</t>
  </si>
  <si>
    <t>003 002</t>
  </si>
  <si>
    <t>43 72D 359056</t>
  </si>
  <si>
    <t>003 003</t>
  </si>
  <si>
    <t>OP19</t>
  </si>
  <si>
    <t>43-71D 310078</t>
  </si>
  <si>
    <t>011 004</t>
  </si>
  <si>
    <t>NCM 002 004</t>
  </si>
  <si>
    <t>NCM 2.5</t>
  </si>
  <si>
    <t>002_001</t>
  </si>
  <si>
    <t>VW276_EU - 2GA.823.155 - 2017</t>
  </si>
  <si>
    <t>002 002</t>
  </si>
  <si>
    <t>NC's</t>
  </si>
  <si>
    <t>3335</t>
  </si>
  <si>
    <t>43-72D364375</t>
  </si>
  <si>
    <t>3</t>
  </si>
  <si>
    <t>3339</t>
  </si>
  <si>
    <t>79-72D357934</t>
  </si>
  <si>
    <t>Platinenschnitt</t>
  </si>
  <si>
    <t>KD02</t>
  </si>
  <si>
    <t>MQB_A0 - 2Q0.805.397_398 - 2017</t>
  </si>
  <si>
    <t>__</t>
  </si>
  <si>
    <t>VW276 - TROC - 2GA.823.105 - 2017</t>
  </si>
  <si>
    <t>43-72D359062</t>
  </si>
  <si>
    <t>10</t>
  </si>
  <si>
    <t>3343</t>
  </si>
  <si>
    <t>43-72D359058</t>
  </si>
  <si>
    <t>KD05</t>
  </si>
  <si>
    <t>001_001</t>
  </si>
  <si>
    <t>43-72D 359073</t>
  </si>
  <si>
    <t>5</t>
  </si>
  <si>
    <t>4</t>
  </si>
  <si>
    <t>43-72D 359057</t>
  </si>
  <si>
    <t>004_000</t>
  </si>
  <si>
    <t>004_001</t>
  </si>
  <si>
    <t>VW483_EU - Passat CC - 3G8.823.105 - 2017</t>
  </si>
  <si>
    <t>014 001</t>
  </si>
  <si>
    <t>43-72D 359056</t>
  </si>
  <si>
    <t>43-72D359056</t>
  </si>
  <si>
    <t>KD09</t>
  </si>
  <si>
    <t>43-72D356134</t>
  </si>
  <si>
    <t>NCM 1.2</t>
  </si>
  <si>
    <t>KD03</t>
  </si>
  <si>
    <t>Alteração de Engenharia</t>
  </si>
  <si>
    <t>ÄKO VZA8287</t>
  </si>
  <si>
    <t>VW483_EU - Passat CC - 3G8.823.155 - 2017</t>
  </si>
  <si>
    <t>15-72D357942</t>
  </si>
  <si>
    <t>KD11</t>
  </si>
  <si>
    <t>43-72D35055</t>
  </si>
  <si>
    <t>KD09_Alteração de engenharia</t>
  </si>
  <si>
    <t>79-72D357942</t>
  </si>
  <si>
    <t>DIE DESIGN FINAL E LISTA DE MATERIAL FINAL</t>
  </si>
  <si>
    <t>21-72D364930</t>
  </si>
  <si>
    <t>21-72D366320</t>
  </si>
  <si>
    <t>ERRO DE MAQUINAÇAO</t>
  </si>
  <si>
    <t>2</t>
  </si>
  <si>
    <t>Dimensão final da chapa, reajuste do posicionamento dos Posicionadores com e sem Sensores para maquinação do Pisador Inferior e ajuste final da chapa para produção.</t>
  </si>
  <si>
    <t>79-72D357941</t>
  </si>
  <si>
    <t>Ajuste à nova dimensão da chapa (1725X2080) com espaço suficiente para realizar,</t>
  </si>
  <si>
    <t>na Inferior e na Superior."</t>
  </si>
  <si>
    <t>Melhoria de Qualidade de Superficie</t>
  </si>
  <si>
    <t>43-72D 359055</t>
  </si>
  <si>
    <t>AVS 005</t>
  </si>
  <si>
    <t>F</t>
  </si>
  <si>
    <t>MP 017 000</t>
  </si>
  <si>
    <t>MCP REDONDOS NA ZONA DOS TRIANGULOS</t>
  </si>
  <si>
    <t>NOVA   POS. 16.023.00   2X"</t>
  </si>
  <si>
    <t>79-72D357938</t>
  </si>
  <si>
    <t>Optimizaçãp de Qualidade de Superficie</t>
  </si>
  <si>
    <t>Modelos</t>
  </si>
  <si>
    <t>VW216 - TCROSS - 2GM.823.105 - 2017</t>
  </si>
  <si>
    <t>42-72D368258</t>
  </si>
  <si>
    <t>MD00</t>
  </si>
  <si>
    <t>Die Design para Protótipo</t>
  </si>
  <si>
    <t>42-72D368255</t>
  </si>
  <si>
    <t>Posicionamento de Platina com Posicionadores e 2 meias luas</t>
  </si>
  <si>
    <t>79-72D357935</t>
  </si>
  <si>
    <t>NOVAS    POS. 08.025.00   POS. 08.026.00</t>
  </si>
  <si>
    <t>79-72d357937</t>
  </si>
  <si>
    <t>DOIS PUNÇÕES NOVOS     POS. 08.025.00   POS.  08.026.00</t>
  </si>
  <si>
    <t>79-72D357937</t>
  </si>
  <si>
    <t>MP final com compensaçao para se actualizar DD e comecar NCM</t>
  </si>
  <si>
    <t>006 001</t>
  </si>
  <si>
    <t>Die design final e lista de material final</t>
  </si>
  <si>
    <t>21-72D366319</t>
  </si>
  <si>
    <t>Maquinar    pos. 74.001 pos. 75.001</t>
  </si>
  <si>
    <t>ponto VI.1.7 do protocolo de aceitação de ferramentas"</t>
  </si>
  <si>
    <t>79-72D357943</t>
  </si>
  <si>
    <t>KD06</t>
  </si>
  <si>
    <t>MD01</t>
  </si>
  <si>
    <t>Inclusão de umas guias nas Cames Pos.73.01 e Pos.74.01</t>
  </si>
  <si>
    <t>6</t>
  </si>
  <si>
    <t>Alteração do material do punção e do pisador</t>
  </si>
  <si>
    <t>Nachform-Beschneide-Trenn-Werkzeug</t>
  </si>
  <si>
    <t>Integaração TandemLine das OP.30-40-50-60.</t>
  </si>
  <si>
    <t>79D357936/37/38/39</t>
  </si>
  <si>
    <t>-</t>
  </si>
  <si>
    <t>Dados de referencia a 1.5mm</t>
  </si>
  <si>
    <t>21-72d 366319</t>
  </si>
  <si>
    <t>Alteração dos contornos de corte das posições 16.428 - 16.430 - 51.428 e 51.430 de acordo com o seguinte método - 2GA_823_155____K05_MP__009_000_OP_50_EN_026_B-FRAES_BOMBIERTE_09082016</t>
  </si>
  <si>
    <t>43-72D359063</t>
  </si>
  <si>
    <t>mp006</t>
  </si>
  <si>
    <t>21-71D 310399</t>
  </si>
  <si>
    <t>MP 006</t>
  </si>
  <si>
    <t>Die Design ferramenta de produção</t>
  </si>
  <si>
    <t>21-72D364929</t>
  </si>
  <si>
    <t>Aenderung NCº 3347</t>
  </si>
  <si>
    <t>21-72D 364933</t>
  </si>
  <si>
    <t>Alteração de material das posições 16_200_01, 16_200_3, 16_204_1 e 16_217_01</t>
  </si>
  <si>
    <t>43-72D359064</t>
  </si>
  <si>
    <t>KD12</t>
  </si>
  <si>
    <t>43-72D359061</t>
  </si>
  <si>
    <t>Inclusão de posicionador com sensor Norma 39D639/3 para sinalizar no plano YZ</t>
  </si>
  <si>
    <t>43-72D359071</t>
  </si>
  <si>
    <t>000 011</t>
  </si>
  <si>
    <t>000 021</t>
  </si>
  <si>
    <t>21-72D 366319</t>
  </si>
  <si>
    <t>21-72D 366320</t>
  </si>
  <si>
    <t>9</t>
  </si>
  <si>
    <t>Leerstation</t>
  </si>
  <si>
    <t>43-72D 359071</t>
  </si>
  <si>
    <t>43-72D 359074</t>
  </si>
  <si>
    <t>43-72D359072</t>
  </si>
  <si>
    <t>KD04</t>
  </si>
  <si>
    <t>43-72D 359075</t>
  </si>
  <si>
    <t>43-72D359057</t>
  </si>
  <si>
    <t>43-72D359073</t>
  </si>
  <si>
    <t>Atualização do contorno dos blocos.</t>
  </si>
  <si>
    <t>Atualização do posicionamento dos bronzes e dos pinos de segurança.</t>
  </si>
  <si>
    <t>Die Design  final e Lista de Material</t>
  </si>
  <si>
    <t>001 004</t>
  </si>
  <si>
    <t>AU270 - Audi A1 - 82G.833.311 - 2017</t>
  </si>
  <si>
    <t>004 002</t>
  </si>
  <si>
    <t>21-72D 364932</t>
  </si>
  <si>
    <t>MP PARA INICIO DE DD</t>
  </si>
  <si>
    <t>008_003</t>
  </si>
  <si>
    <t>COLOCAR DATADOR ROTATIVO POS.1_085</t>
  </si>
  <si>
    <t>TG</t>
  </si>
  <si>
    <t>VW216 - TCROSS - 2GM.823.155 - 2017</t>
  </si>
  <si>
    <t>43-71D 310865</t>
  </si>
  <si>
    <t>MP 016 000</t>
  </si>
  <si>
    <t>Fixture</t>
  </si>
  <si>
    <t>43-37D351299</t>
  </si>
  <si>
    <t>MP PARA INICIAR DD</t>
  </si>
  <si>
    <t>FAP</t>
  </si>
  <si>
    <t>SIMULACOES"</t>
  </si>
  <si>
    <t>MP 008.003</t>
  </si>
  <si>
    <t>DLP</t>
  </si>
  <si>
    <t>OP19.1</t>
  </si>
  <si>
    <t>Operação</t>
  </si>
  <si>
    <t>Total Operações</t>
  </si>
  <si>
    <t>Total Geral em:</t>
  </si>
  <si>
    <t>MQB_A0 - 2Q0.805.397_398</t>
  </si>
  <si>
    <t>MQB_A0 - 2Q0.809.121_122</t>
  </si>
  <si>
    <t>MQB_A1 - 5Q0.803.233_4</t>
  </si>
  <si>
    <t>VW276_EU - 2GA.821.105</t>
  </si>
  <si>
    <t>VW276_EU - 2GA.823.155</t>
  </si>
  <si>
    <t>VW378 - Touran - 5TA.809.209</t>
  </si>
  <si>
    <t>VW483_EU - Passat CC - 3G8.823.105</t>
  </si>
  <si>
    <t>VW483_EU - Passat CC - 3G8.823.155</t>
  </si>
  <si>
    <t>VW483_CN - Passat CC - 3G8.823.105</t>
  </si>
  <si>
    <t>VW483_CN - Passat CC - 3G8.823.155</t>
  </si>
  <si>
    <t>Porsche_C7NF - 981.503.501</t>
  </si>
  <si>
    <t>VW216 - TCROSS - 2GM.823.105</t>
  </si>
  <si>
    <t>VW216 - TCROSS - 2GM.823.155</t>
  </si>
  <si>
    <t>Ferramenta partida</t>
  </si>
  <si>
    <t>MQB_A1 - 5Q0.803.106 - 2017</t>
  </si>
  <si>
    <t>43-72D354458</t>
  </si>
  <si>
    <t>43-72D354452</t>
  </si>
  <si>
    <t>11</t>
  </si>
  <si>
    <t>MQB_A1 - 5Q0.803.106</t>
  </si>
  <si>
    <t>42 72D 368255</t>
  </si>
  <si>
    <t>000 000</t>
  </si>
  <si>
    <t>43-72D 359072</t>
  </si>
  <si>
    <t>AVS_006</t>
  </si>
  <si>
    <t>72D_359056</t>
  </si>
  <si>
    <t>003_004</t>
  </si>
  <si>
    <t>CORTE DE PLATINA A LASER</t>
  </si>
  <si>
    <t>21-72D 364931</t>
  </si>
  <si>
    <t>72D_359072</t>
  </si>
  <si>
    <t>004 001</t>
  </si>
  <si>
    <t>79D-72D 357491</t>
  </si>
  <si>
    <t>NCM 2.0</t>
  </si>
  <si>
    <t>003_005</t>
  </si>
  <si>
    <t>1,006</t>
  </si>
  <si>
    <t>001_007</t>
  </si>
  <si>
    <t>2,001</t>
  </si>
  <si>
    <t>3358</t>
  </si>
  <si>
    <t>43-72D 359058</t>
  </si>
  <si>
    <t>a</t>
  </si>
  <si>
    <t>3372</t>
  </si>
  <si>
    <t>KD02_REV01</t>
  </si>
  <si>
    <t>XXXX</t>
  </si>
  <si>
    <t>43-72D328</t>
  </si>
  <si>
    <t>42-72D 368255</t>
  </si>
  <si>
    <t>00 REV01</t>
  </si>
  <si>
    <t>42-72D 368258</t>
  </si>
  <si>
    <t>00_REV01</t>
  </si>
  <si>
    <t>43-72D 356134</t>
  </si>
  <si>
    <t>08_REV01</t>
  </si>
  <si>
    <t>1009985</t>
  </si>
  <si>
    <t>42-71D 310865</t>
  </si>
  <si>
    <t>017 000</t>
  </si>
  <si>
    <t>Alteração RPS</t>
  </si>
  <si>
    <t>Alteração de RPS</t>
  </si>
  <si>
    <t>7</t>
  </si>
  <si>
    <t>Die Design de Produção - sem os postiços de prototipo</t>
  </si>
  <si>
    <t>Do KD 04 para o KD05 - troca de die design Prototipo para Produção"</t>
  </si>
  <si>
    <t>Metodo versão MK</t>
  </si>
  <si>
    <t>VW216 - TCROSS - 2GM.821.105 - 2017</t>
  </si>
  <si>
    <t>42-71D310863</t>
  </si>
  <si>
    <t>000 994</t>
  </si>
  <si>
    <t>DD para modelos</t>
  </si>
  <si>
    <t>15-72D 368853</t>
  </si>
  <si>
    <t>MD</t>
  </si>
  <si>
    <t>15-72D 368855</t>
  </si>
  <si>
    <t>VW216 - TCROSS - 2GM.821.105</t>
  </si>
  <si>
    <t>002_007</t>
  </si>
  <si>
    <t>000_000</t>
  </si>
  <si>
    <t>VW276 - TROC - 82G.831.111_112_311_312 - 2017</t>
  </si>
  <si>
    <t>43-72d 359097</t>
  </si>
  <si>
    <t>MQB_A1 - 5Q0.803.105 - 2017</t>
  </si>
  <si>
    <t>___</t>
  </si>
  <si>
    <t>DLP/TMZ (Durchlaufplan)</t>
  </si>
  <si>
    <t>42 72d  368255</t>
  </si>
  <si>
    <t>002_000</t>
  </si>
  <si>
    <t>01_REV01</t>
  </si>
  <si>
    <t>72D 359057</t>
  </si>
  <si>
    <t>004_003</t>
  </si>
  <si>
    <t>Die Design sem Faltenhanlten</t>
  </si>
  <si>
    <t>42-72D365258</t>
  </si>
  <si>
    <t>Die Design sem o Faltenhalten</t>
  </si>
  <si>
    <t>Pedido do cliente</t>
  </si>
  <si>
    <t>79-72D 357944</t>
  </si>
  <si>
    <t>Actualização de TM05 e Optimização a pedido do try-out</t>
  </si>
  <si>
    <t>43-71310078</t>
  </si>
  <si>
    <t>012 000</t>
  </si>
  <si>
    <t>MP 022 000</t>
  </si>
  <si>
    <t>Alteração ao conceito de guiamento da platina</t>
  </si>
  <si>
    <t>Todas as peças alteradas se encontram na lista de material como Rev 4"</t>
  </si>
  <si>
    <t>VW481_PA_Passat</t>
  </si>
  <si>
    <t>3G5.817.111_Dach</t>
  </si>
  <si>
    <t>3G9.817.111_Dach_Normaldach</t>
  </si>
  <si>
    <t>20170420357</t>
  </si>
  <si>
    <t>AU270 - Audi A1 - 82A.823.155 - 2017</t>
  </si>
  <si>
    <t>41-71D 310279</t>
  </si>
  <si>
    <t>018_000</t>
  </si>
  <si>
    <t>Milestone de Modelos MD</t>
  </si>
  <si>
    <t>VW481_PA_Passat - 3G5.817.111_Dach - 2017</t>
  </si>
  <si>
    <t>15-72D368853</t>
  </si>
  <si>
    <t>MQB_A1 - 5Q0.803.105</t>
  </si>
  <si>
    <t>VW276 - TROC - 82G.831.111_112_311_312</t>
  </si>
  <si>
    <t>VW481_PA_Passat - 3G5.817.111_Dach</t>
  </si>
  <si>
    <t>001_014</t>
  </si>
  <si>
    <t>001_004</t>
  </si>
  <si>
    <t>002_002</t>
  </si>
  <si>
    <t>Problema de modelos</t>
  </si>
  <si>
    <t>21-72D 364930</t>
  </si>
  <si>
    <t>MP010 002 -</t>
  </si>
  <si>
    <t>42-71d 310864</t>
  </si>
  <si>
    <t>010 002</t>
  </si>
  <si>
    <t>42-72D 368250</t>
  </si>
  <si>
    <t>42-72D 368259</t>
  </si>
  <si>
    <t>GEOMETRIA PARA MAQUINAR BLOCOS NOVOS DA CAMA DO CLINCHING</t>
  </si>
  <si>
    <t>43-15D 395346</t>
  </si>
  <si>
    <t>Die deign para modelos</t>
  </si>
  <si>
    <t>42-72D368256</t>
  </si>
  <si>
    <t>Lista de material</t>
  </si>
  <si>
    <t>42-72D 368256</t>
  </si>
  <si>
    <t>Melhorias / Protocol Aceitação Modelos</t>
  </si>
  <si>
    <t>Dados de Referência / Correções Dimensional</t>
  </si>
  <si>
    <t>Projeto Base</t>
  </si>
  <si>
    <t>002_003</t>
  </si>
  <si>
    <t>Total</t>
  </si>
  <si>
    <t>42 72D 368258</t>
  </si>
  <si>
    <t>1,001</t>
  </si>
  <si>
    <t>82A.823.105_155 / 82A.823.155</t>
  </si>
  <si>
    <t>82G.831.111_112_311_312 / 82G.833.311</t>
  </si>
  <si>
    <t>Die design e lista de material de modelos</t>
  </si>
  <si>
    <t>42-72D368257</t>
  </si>
  <si>
    <t xml:space="preserve"> / 3G9.817.111_Dach_Normaldach / 3G9.817.111_Dach_Normaldach / 3G9.817.111_Dach_Normaldach / 3G9.817.111_Dach_Normaldach /  /  /  /  /  /  /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</si>
</sst>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1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40">
    <xf numFmtId="0" fontId="0" fillId="0" borderId="0" xfId="0"/>
    <xf numFmtId="49" fontId="0" fillId="0" borderId="0" xfId="0" applyNumberFormat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0" xfId="0" applyFont="1" applyBorder="1"/>
    <xf numFmtId="0" fontId="0" fillId="0" borderId="0" xfId="0" applyFill="1" applyBorder="1"/>
    <xf numFmtId="0" fontId="1" fillId="0" borderId="0" xfId="0" applyFont="1" applyFill="1" applyBorder="1"/>
    <xf numFmtId="0" fontId="0" fillId="0" borderId="1" xfId="0" applyFill="1" applyBorder="1"/>
    <xf numFmtId="0" fontId="2" fillId="0" borderId="4" xfId="0" applyFont="1" applyFill="1" applyBorder="1" applyAlignment="1">
      <alignment vertical="center"/>
    </xf>
    <xf numFmtId="0" fontId="0" fillId="0" borderId="4" xfId="0" applyFill="1" applyBorder="1"/>
    <xf numFmtId="49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9" xfId="0" applyFont="1" applyBorder="1"/>
    <xf numFmtId="0" fontId="0" fillId="0" borderId="11" xfId="0" applyBorder="1"/>
    <xf numFmtId="0" fontId="1" fillId="0" borderId="11" xfId="0" applyFont="1" applyBorder="1"/>
    <xf numFmtId="0" fontId="1" fillId="0" borderId="11" xfId="0" applyFont="1" applyFill="1" applyBorder="1"/>
    <xf numFmtId="0" fontId="0" fillId="0" borderId="11" xfId="0" applyFill="1" applyBorder="1"/>
    <xf numFmtId="0" fontId="0" fillId="0" borderId="11" xfId="0" applyFont="1" applyFill="1" applyBorder="1" applyAlignment="1"/>
    <xf numFmtId="0" fontId="0" fillId="0" borderId="13" xfId="0" applyFont="1" applyFill="1" applyBorder="1" applyAlignment="1"/>
    <xf numFmtId="0" fontId="0" fillId="0" borderId="11" xfId="0" applyFont="1" applyBorder="1"/>
    <xf numFmtId="0" fontId="0" fillId="0" borderId="10" xfId="0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5" borderId="15" xfId="0" applyFont="1" applyFill="1" applyBorder="1" applyAlignment="1">
      <alignment horizontal="center" vertical="center"/>
    </xf>
    <xf numFmtId="0" fontId="0" fillId="5" borderId="0" xfId="0" applyFill="1" applyAlignment="1">
      <alignment vertical="center"/>
    </xf>
    <xf numFmtId="0" fontId="9" fillId="6" borderId="15" xfId="0" applyFont="1" applyFill="1" applyBorder="1" applyAlignment="1">
      <alignment horizontal="center" vertical="center"/>
    </xf>
    <xf numFmtId="0" fontId="10" fillId="6" borderId="15" xfId="0" applyFont="1" applyFill="1" applyBorder="1" applyAlignment="1">
      <alignment horizontal="center" vertical="center"/>
    </xf>
    <xf numFmtId="49" fontId="0" fillId="5" borderId="16" xfId="0" applyNumberFormat="1" applyFill="1" applyBorder="1" applyAlignment="1">
      <alignment vertical="center"/>
    </xf>
    <xf numFmtId="49" fontId="0" fillId="5" borderId="15" xfId="0" applyNumberFormat="1" applyFill="1" applyBorder="1" applyAlignment="1">
      <alignment vertical="center"/>
    </xf>
    <xf numFmtId="49" fontId="8" fillId="5" borderId="15" xfId="0" applyNumberFormat="1" applyFont="1" applyFill="1" applyBorder="1" applyAlignment="1">
      <alignment vertical="center"/>
    </xf>
    <xf numFmtId="49" fontId="0" fillId="5" borderId="15" xfId="0" applyNumberFormat="1" applyFill="1" applyBorder="1" applyAlignment="1">
      <alignment horizontal="left" vertical="center"/>
    </xf>
    <xf numFmtId="49" fontId="8" fillId="5" borderId="15" xfId="0" applyNumberFormat="1" applyFont="1" applyFill="1" applyBorder="1" applyAlignment="1">
      <alignment horizontal="left" vertical="center"/>
    </xf>
    <xf numFmtId="0" fontId="0" fillId="5" borderId="0" xfId="0" applyFill="1" applyBorder="1" applyAlignment="1">
      <alignment vertical="center"/>
    </xf>
    <xf numFmtId="49" fontId="8" fillId="5" borderId="0" xfId="0" applyNumberFormat="1" applyFont="1" applyFill="1" applyAlignment="1">
      <alignment vertical="center"/>
    </xf>
    <xf numFmtId="49" fontId="0" fillId="5" borderId="0" xfId="0" applyNumberFormat="1" applyFill="1" applyAlignment="1">
      <alignment vertical="center"/>
    </xf>
    <xf numFmtId="0" fontId="12" fillId="7" borderId="11" xfId="0" applyFont="1" applyFill="1" applyBorder="1"/>
    <xf numFmtId="0" fontId="12" fillId="8" borderId="11" xfId="0" applyFont="1" applyFill="1" applyBorder="1"/>
    <xf numFmtId="0" fontId="12" fillId="8" borderId="11" xfId="0" applyFont="1" applyFill="1" applyBorder="1" applyAlignment="1"/>
    <xf numFmtId="0" fontId="12" fillId="8" borderId="13" xfId="0" applyFont="1" applyFill="1" applyBorder="1" applyAlignment="1"/>
    <xf numFmtId="0" fontId="11" fillId="9" borderId="11" xfId="0" applyFont="1" applyFill="1" applyBorder="1"/>
    <xf numFmtId="0" fontId="11" fillId="10" borderId="9" xfId="0" applyFont="1" applyFill="1" applyBorder="1"/>
    <xf numFmtId="0" fontId="12" fillId="11" borderId="11" xfId="0" applyFont="1" applyFill="1" applyBorder="1"/>
    <xf numFmtId="0" fontId="0" fillId="5" borderId="15" xfId="0" applyFill="1" applyBorder="1" applyAlignment="1">
      <alignment vertical="center"/>
    </xf>
    <xf numFmtId="0" fontId="9" fillId="12" borderId="15" xfId="0" applyFont="1" applyFill="1" applyBorder="1" applyAlignment="1">
      <alignment horizontal="center" vertical="center"/>
    </xf>
    <xf numFmtId="0" fontId="0" fillId="0" borderId="0" xfId="0" applyFont="1" applyBorder="1"/>
    <xf numFmtId="0" fontId="4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Fill="1" applyBorder="1" applyAlignment="1"/>
    <xf numFmtId="0" fontId="13" fillId="0" borderId="0" xfId="0" applyFont="1" applyBorder="1" applyAlignment="1">
      <alignment vertical="center"/>
    </xf>
    <xf numFmtId="0" fontId="4" fillId="0" borderId="25" xfId="0" applyFont="1" applyFill="1" applyBorder="1" applyAlignment="1">
      <alignment vertical="center"/>
    </xf>
    <xf numFmtId="0" fontId="6" fillId="0" borderId="25" xfId="0" applyFont="1" applyFill="1" applyBorder="1" applyAlignment="1">
      <alignment vertical="center"/>
    </xf>
    <xf numFmtId="0" fontId="0" fillId="0" borderId="26" xfId="0" applyBorder="1"/>
    <xf numFmtId="0" fontId="0" fillId="0" borderId="27" xfId="0" applyBorder="1"/>
    <xf numFmtId="0" fontId="0" fillId="0" borderId="28" xfId="0" applyFill="1" applyBorder="1"/>
    <xf numFmtId="0" fontId="2" fillId="0" borderId="29" xfId="0" applyFont="1" applyFill="1" applyBorder="1" applyAlignment="1">
      <alignment vertical="center"/>
    </xf>
    <xf numFmtId="0" fontId="3" fillId="0" borderId="29" xfId="0" applyFont="1" applyFill="1" applyBorder="1" applyAlignment="1">
      <alignment vertical="center"/>
    </xf>
    <xf numFmtId="0" fontId="0" fillId="0" borderId="29" xfId="0" applyFill="1" applyBorder="1"/>
    <xf numFmtId="0" fontId="0" fillId="0" borderId="29" xfId="0" applyBorder="1"/>
    <xf numFmtId="0" fontId="2" fillId="0" borderId="0" xfId="0" applyFont="1" applyFill="1" applyBorder="1" applyAlignment="1">
      <alignment vertical="center"/>
    </xf>
    <xf numFmtId="0" fontId="2" fillId="0" borderId="25" xfId="0" applyFont="1" applyFill="1" applyBorder="1" applyAlignment="1">
      <alignment vertical="center"/>
    </xf>
    <xf numFmtId="0" fontId="0" fillId="0" borderId="27" xfId="0" applyFill="1" applyBorder="1" applyAlignment="1">
      <alignment vertical="center"/>
    </xf>
    <xf numFmtId="0" fontId="0" fillId="0" borderId="29" xfId="0" applyFill="1" applyBorder="1" applyAlignment="1">
      <alignment vertical="center"/>
    </xf>
    <xf numFmtId="0" fontId="0" fillId="0" borderId="27" xfId="0" applyFill="1" applyBorder="1"/>
    <xf numFmtId="0" fontId="0" fillId="0" borderId="29" xfId="0" applyFill="1" applyBorder="1" applyAlignment="1">
      <alignment vertical="center" textRotation="90"/>
    </xf>
    <xf numFmtId="0" fontId="3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0" fillId="0" borderId="5" xfId="0" applyFill="1" applyBorder="1"/>
    <xf numFmtId="0" fontId="0" fillId="0" borderId="5" xfId="0" applyFill="1" applyBorder="1" applyAlignment="1">
      <alignment vertical="center"/>
    </xf>
    <xf numFmtId="0" fontId="0" fillId="0" borderId="8" xfId="0" applyFill="1" applyBorder="1"/>
    <xf numFmtId="0" fontId="0" fillId="0" borderId="2" xfId="0" applyFill="1" applyBorder="1"/>
    <xf numFmtId="0" fontId="3" fillId="0" borderId="4" xfId="0" applyFont="1" applyFill="1" applyBorder="1" applyAlignment="1">
      <alignment vertical="center"/>
    </xf>
    <xf numFmtId="0" fontId="0" fillId="0" borderId="4" xfId="0" applyFill="1" applyBorder="1" applyAlignment="1">
      <alignment vertical="center" textRotation="90"/>
    </xf>
    <xf numFmtId="0" fontId="0" fillId="0" borderId="4" xfId="0" applyFill="1" applyBorder="1" applyAlignment="1">
      <alignment vertical="center"/>
    </xf>
    <xf numFmtId="0" fontId="3" fillId="0" borderId="6" xfId="0" applyFont="1" applyFill="1" applyBorder="1" applyAlignment="1">
      <alignment vertical="center"/>
    </xf>
    <xf numFmtId="0" fontId="0" fillId="4" borderId="0" xfId="0" applyFill="1" applyBorder="1" applyAlignment="1"/>
    <xf numFmtId="0" fontId="3" fillId="0" borderId="30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6" fillId="0" borderId="7" xfId="0" applyFont="1" applyFill="1" applyBorder="1" applyAlignment="1">
      <alignment vertical="center"/>
    </xf>
    <xf numFmtId="0" fontId="12" fillId="10" borderId="31" xfId="0" applyFont="1" applyFill="1" applyBorder="1" applyAlignment="1">
      <alignment horizontal="center"/>
    </xf>
    <xf numFmtId="0" fontId="12" fillId="11" borderId="0" xfId="0" applyFont="1" applyFill="1" applyBorder="1" applyAlignment="1">
      <alignment horizontal="center"/>
    </xf>
    <xf numFmtId="0" fontId="12" fillId="9" borderId="0" xfId="0" applyFont="1" applyFill="1" applyBorder="1" applyAlignment="1">
      <alignment horizontal="center"/>
    </xf>
    <xf numFmtId="0" fontId="12" fillId="7" borderId="0" xfId="0" applyFont="1" applyFill="1" applyBorder="1" applyAlignment="1">
      <alignment horizontal="center"/>
    </xf>
    <xf numFmtId="0" fontId="12" fillId="8" borderId="0" xfId="0" applyFont="1" applyFill="1" applyBorder="1" applyAlignment="1">
      <alignment horizontal="center"/>
    </xf>
    <xf numFmtId="0" fontId="12" fillId="8" borderId="32" xfId="0" applyFont="1" applyFill="1" applyBorder="1" applyAlignment="1">
      <alignment horizontal="center"/>
    </xf>
    <xf numFmtId="0" fontId="12" fillId="17" borderId="0" xfId="0" applyFont="1" applyFill="1" applyBorder="1" applyAlignment="1">
      <alignment horizontal="center"/>
    </xf>
    <xf numFmtId="0" fontId="12" fillId="15" borderId="0" xfId="0" applyFont="1" applyFill="1" applyBorder="1"/>
    <xf numFmtId="0" fontId="11" fillId="16" borderId="11" xfId="0" applyFont="1" applyFill="1" applyBorder="1"/>
    <xf numFmtId="0" fontId="11" fillId="8" borderId="11" xfId="0" applyFont="1" applyFill="1" applyBorder="1"/>
    <xf numFmtId="0" fontId="12" fillId="19" borderId="0" xfId="0" applyFont="1" applyFill="1" applyBorder="1" applyAlignment="1">
      <alignment horizontal="center"/>
    </xf>
    <xf numFmtId="0" fontId="12" fillId="18" borderId="0" xfId="0" applyFont="1" applyFill="1" applyBorder="1"/>
    <xf numFmtId="0" fontId="12" fillId="8" borderId="0" xfId="0" applyFont="1" applyFill="1" applyBorder="1"/>
    <xf numFmtId="0" fontId="12" fillId="8" borderId="12" xfId="0" applyFont="1" applyFill="1" applyBorder="1"/>
    <xf numFmtId="0" fontId="12" fillId="10" borderId="0" xfId="0" applyFont="1" applyFill="1" applyBorder="1"/>
    <xf numFmtId="0" fontId="12" fillId="10" borderId="31" xfId="0" applyFont="1" applyFill="1" applyBorder="1"/>
    <xf numFmtId="0" fontId="12" fillId="10" borderId="10" xfId="0" applyFont="1" applyFill="1" applyBorder="1"/>
    <xf numFmtId="0" fontId="12" fillId="15" borderId="12" xfId="0" applyFont="1" applyFill="1" applyBorder="1"/>
    <xf numFmtId="0" fontId="12" fillId="9" borderId="0" xfId="0" applyFont="1" applyFill="1" applyBorder="1"/>
    <xf numFmtId="0" fontId="12" fillId="9" borderId="12" xfId="0" applyFont="1" applyFill="1" applyBorder="1"/>
    <xf numFmtId="0" fontId="12" fillId="7" borderId="0" xfId="0" applyFont="1" applyFill="1" applyBorder="1"/>
    <xf numFmtId="0" fontId="12" fillId="7" borderId="12" xfId="0" applyFont="1" applyFill="1" applyBorder="1"/>
    <xf numFmtId="0" fontId="12" fillId="16" borderId="0" xfId="0" applyFont="1" applyFill="1" applyBorder="1"/>
    <xf numFmtId="0" fontId="12" fillId="16" borderId="12" xfId="0" applyFont="1" applyFill="1" applyBorder="1"/>
    <xf numFmtId="0" fontId="12" fillId="8" borderId="32" xfId="0" applyFont="1" applyFill="1" applyBorder="1"/>
    <xf numFmtId="0" fontId="12" fillId="8" borderId="14" xfId="0" applyFont="1" applyFill="1" applyBorder="1"/>
    <xf numFmtId="0" fontId="17" fillId="13" borderId="0" xfId="0" applyFont="1" applyFill="1" applyBorder="1" applyAlignment="1">
      <alignment horizontal="center" vertical="center"/>
    </xf>
    <xf numFmtId="49" fontId="18" fillId="14" borderId="0" xfId="0" applyNumberFormat="1" applyFont="1" applyFill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15" fillId="0" borderId="29" xfId="0" applyFont="1" applyFill="1" applyBorder="1" applyAlignment="1">
      <alignment horizontal="center" vertical="center" textRotation="90"/>
    </xf>
    <xf numFmtId="0" fontId="3" fillId="0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 textRotation="90"/>
    </xf>
    <xf numFmtId="0" fontId="0" fillId="0" borderId="29" xfId="0" applyFill="1" applyBorder="1" applyAlignment="1">
      <alignment horizontal="center" vertical="center" textRotation="90"/>
    </xf>
    <xf numFmtId="0" fontId="4" fillId="4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15" fillId="0" borderId="4" xfId="0" applyFont="1" applyFill="1" applyBorder="1" applyAlignment="1">
      <alignment horizontal="center" vertical="center" textRotation="90"/>
    </xf>
    <xf numFmtId="0" fontId="0" fillId="0" borderId="4" xfId="0" applyFill="1" applyBorder="1" applyAlignment="1">
      <alignment horizontal="center" vertical="center" textRotation="90"/>
    </xf>
    <xf numFmtId="0" fontId="3" fillId="13" borderId="23" xfId="0" applyFont="1" applyFill="1" applyBorder="1" applyAlignment="1">
      <alignment horizontal="center" vertical="center"/>
    </xf>
    <xf numFmtId="0" fontId="3" fillId="13" borderId="20" xfId="0" applyFont="1" applyFill="1" applyBorder="1" applyAlignment="1">
      <alignment horizontal="center" vertical="center"/>
    </xf>
    <xf numFmtId="0" fontId="5" fillId="14" borderId="0" xfId="0" applyFont="1" applyFill="1" applyBorder="1" applyAlignment="1">
      <alignment horizontal="center" vertical="center"/>
    </xf>
    <xf numFmtId="0" fontId="5" fillId="14" borderId="24" xfId="0" applyFont="1" applyFill="1" applyBorder="1" applyAlignment="1">
      <alignment horizontal="center" vertical="center"/>
    </xf>
    <xf numFmtId="0" fontId="5" fillId="14" borderId="21" xfId="0" applyFont="1" applyFill="1" applyBorder="1" applyAlignment="1">
      <alignment horizontal="center" vertical="center"/>
    </xf>
    <xf numFmtId="0" fontId="5" fillId="14" borderId="22" xfId="0" applyFont="1" applyFill="1" applyBorder="1" applyAlignment="1">
      <alignment horizontal="center" vertical="center"/>
    </xf>
    <xf numFmtId="0" fontId="3" fillId="13" borderId="17" xfId="0" applyFont="1" applyFill="1" applyBorder="1" applyAlignment="1">
      <alignment horizontal="center" vertical="center"/>
    </xf>
    <xf numFmtId="0" fontId="5" fillId="14" borderId="18" xfId="0" applyFont="1" applyFill="1" applyBorder="1" applyAlignment="1">
      <alignment horizontal="center" vertical="center"/>
    </xf>
    <xf numFmtId="0" fontId="5" fillId="14" borderId="19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800000"/>
      <color rgb="FF336699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Relatórios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Total'!$T$5</c:f>
              <c:strCache>
                <c:ptCount val="1"/>
                <c:pt idx="0">
                  <c:v>2016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Total'!$Z$2:$Z$7</c:f>
              <c:strCache>
                <c:ptCount val="6"/>
                <c:pt idx="0">
                  <c:v>Projeto Base</c:v>
                </c:pt>
                <c:pt idx="1">
                  <c:v>Dados de Referência / Correções Dimensional</c:v>
                </c:pt>
                <c:pt idx="2">
                  <c:v>NC's</c:v>
                </c:pt>
                <c:pt idx="3">
                  <c:v>Melhorias / Protocol Aceitação Modelos</c:v>
                </c:pt>
                <c:pt idx="4">
                  <c:v>Alteração de Engenharia</c:v>
                </c:pt>
                <c:pt idx="5">
                  <c:v>Total de Relatórios</c:v>
                </c:pt>
              </c:strCache>
            </c:strRef>
          </c:cat>
          <c:val>
            <c:numRef>
              <c:f>'Report Total'!$AA$2:$AA$7</c:f>
              <c:numCache>
                <c:formatCode>General</c:formatCode>
                <c:ptCount val="6"/>
                <c:pt idx="0">
                  <c:v>5</c:v>
                </c:pt>
                <c:pt idx="1">
                  <c:v>4</c:v>
                </c:pt>
                <c:pt idx="3">
                  <c:v>2</c:v>
                </c:pt>
                <c:pt idx="5">
                  <c:v>11</c:v>
                </c:pt>
              </c:numCache>
            </c:numRef>
          </c:val>
        </c:ser>
        <c:ser>
          <c:idx val="1"/>
          <c:order val="1"/>
          <c:tx>
            <c:strRef>
              <c:f>'Report Total'!$T$6</c:f>
              <c:strCache>
                <c:ptCount val="1"/>
                <c:pt idx="0">
                  <c:v>2017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Total'!$Z$2:$Z$7</c:f>
              <c:strCache>
                <c:ptCount val="6"/>
                <c:pt idx="0">
                  <c:v>Projeto Base</c:v>
                </c:pt>
                <c:pt idx="1">
                  <c:v>Dados de Referência / Correções Dimensional</c:v>
                </c:pt>
                <c:pt idx="2">
                  <c:v>NC's</c:v>
                </c:pt>
                <c:pt idx="3">
                  <c:v>Melhorias / Protocol Aceitação Modelos</c:v>
                </c:pt>
                <c:pt idx="4">
                  <c:v>Alteração de Engenharia</c:v>
                </c:pt>
                <c:pt idx="5">
                  <c:v>Total de Relatórios</c:v>
                </c:pt>
              </c:strCache>
            </c:strRef>
          </c:cat>
          <c:val>
            <c:numRef>
              <c:f>'Report Total'!$AB$2:$AB$7</c:f>
              <c:numCache>
                <c:formatCode>General</c:formatCode>
                <c:ptCount val="6"/>
                <c:pt idx="0">
                  <c:v>72</c:v>
                </c:pt>
                <c:pt idx="1">
                  <c:v>60</c:v>
                </c:pt>
                <c:pt idx="2">
                  <c:v>23</c:v>
                </c:pt>
                <c:pt idx="3">
                  <c:v>35</c:v>
                </c:pt>
                <c:pt idx="4">
                  <c:v>8</c:v>
                </c:pt>
                <c:pt idx="5">
                  <c:v>198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31183360"/>
        <c:axId val="131184896"/>
      </c:barChart>
      <c:catAx>
        <c:axId val="13118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31184896"/>
        <c:crosses val="autoZero"/>
        <c:auto val="1"/>
        <c:lblAlgn val="ctr"/>
        <c:lblOffset val="100"/>
        <c:noMultiLvlLbl val="0"/>
      </c:catAx>
      <c:valAx>
        <c:axId val="1311848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1183360"/>
        <c:crosses val="autoZero"/>
        <c:crossBetween val="between"/>
      </c:valAx>
    </c:plotArea>
    <c:legend>
      <c:legendPos val="t"/>
      <c:layout/>
      <c:overlay val="0"/>
      <c:spPr>
        <a:ln>
          <a:noFill/>
        </a:ln>
        <a:effectLst>
          <a:glow>
            <a:schemeClr val="accent1"/>
          </a:glow>
        </a:effectLst>
      </c:spPr>
      <c:txPr>
        <a:bodyPr/>
        <a:lstStyle/>
        <a:p>
          <a:pPr>
            <a:defRPr sz="2000"/>
          </a:pPr>
          <a:endParaRPr lang="pt-P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Não</a:t>
            </a:r>
            <a:r>
              <a:rPr lang="pt-PT" sz="2800" baseline="0"/>
              <a:t> Conformidades</a:t>
            </a:r>
            <a:endParaRPr lang="pt-PT" sz="2800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Total'!$Z$9:$Z$13</c:f>
              <c:strCache>
                <c:ptCount val="5"/>
                <c:pt idx="0">
                  <c:v>Método Plano</c:v>
                </c:pt>
                <c:pt idx="1">
                  <c:v>Die Design</c:v>
                </c:pt>
                <c:pt idx="2">
                  <c:v>Dados de Referência</c:v>
                </c:pt>
                <c:pt idx="3">
                  <c:v>Modelos Esferovite</c:v>
                </c:pt>
                <c:pt idx="4">
                  <c:v>Outras</c:v>
                </c:pt>
              </c:strCache>
            </c:strRef>
          </c:cat>
          <c:val>
            <c:numRef>
              <c:f>'Report Total'!$AA$9:$AA$13</c:f>
              <c:numCache>
                <c:formatCode>General</c:formatCode>
                <c:ptCount val="5"/>
                <c:pt idx="0">
                  <c:v>15</c:v>
                </c:pt>
                <c:pt idx="1">
                  <c:v>6</c:v>
                </c:pt>
                <c:pt idx="2">
                  <c:v>1</c:v>
                </c:pt>
                <c:pt idx="4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90"/>
        <c:overlap val="-30"/>
        <c:axId val="131426176"/>
        <c:axId val="131433216"/>
      </c:barChart>
      <c:catAx>
        <c:axId val="131426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31433216"/>
        <c:crosses val="autoZero"/>
        <c:auto val="1"/>
        <c:lblAlgn val="ctr"/>
        <c:lblOffset val="100"/>
        <c:noMultiLvlLbl val="0"/>
      </c:catAx>
      <c:valAx>
        <c:axId val="13143321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14261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</a:t>
            </a:r>
            <a:r>
              <a:rPr lang="pt-PT" sz="2800" baseline="0"/>
              <a:t> de Operações</a:t>
            </a:r>
            <a:endParaRPr lang="pt-PT" sz="2800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Total'!$AA$28</c:f>
              <c:strCache>
                <c:ptCount val="1"/>
                <c:pt idx="0">
                  <c:v>Método Plano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Total'!$Z$15:$Z$24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Total'!$AA$15:$AA$24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'Report Total'!$AB$28</c:f>
              <c:strCache>
                <c:ptCount val="1"/>
                <c:pt idx="0">
                  <c:v>Die Design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Total'!$Z$15:$Z$24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Total'!$AB$15:$AB$24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'Report Total'!$AC$28</c:f>
              <c:strCache>
                <c:ptCount val="1"/>
                <c:pt idx="0">
                  <c:v>Dados de Referência</c:v>
                </c:pt>
              </c:strCache>
            </c:strRef>
          </c:tx>
          <c:invertIfNegative val="0"/>
          <c:dPt>
            <c:idx val="1"/>
            <c:invertIfNegative val="0"/>
            <c:bubble3D val="0"/>
            <c:spPr>
              <a:solidFill>
                <a:schemeClr val="tx2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Total'!$Z$15:$Z$24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Total'!$AC$15:$AC$24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'Report Total'!$AD$28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Total'!$Z$15:$Z$24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Total'!$AD$15:$AD$24</c:f>
              <c:numCache>
                <c:formatCode>General</c:formatCode>
                <c:ptCount val="10"/>
                <c:pt idx="1">
                  <c:v>19</c:v>
                </c:pt>
                <c:pt idx="2">
                  <c:v>2</c:v>
                </c:pt>
                <c:pt idx="4">
                  <c:v>40</c:v>
                </c:pt>
                <c:pt idx="5">
                  <c:v>19</c:v>
                </c:pt>
                <c:pt idx="6">
                  <c:v>29</c:v>
                </c:pt>
                <c:pt idx="7">
                  <c:v>22</c:v>
                </c:pt>
                <c:pt idx="8">
                  <c:v>33</c:v>
                </c:pt>
                <c:pt idx="9">
                  <c:v>30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32551424"/>
        <c:axId val="132552960"/>
      </c:barChart>
      <c:catAx>
        <c:axId val="13255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32552960"/>
        <c:crosses val="autoZero"/>
        <c:auto val="1"/>
        <c:lblAlgn val="ctr"/>
        <c:lblOffset val="100"/>
        <c:noMultiLvlLbl val="0"/>
      </c:catAx>
      <c:valAx>
        <c:axId val="1325529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255142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2000"/>
          </a:pPr>
          <a:endParaRPr lang="pt-P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Relatórios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(23)'!$Z$2:$Z$7</c:f>
              <c:strCache>
                <c:ptCount val="6"/>
                <c:pt idx="0">
                  <c:v>Projeto Base</c:v>
                </c:pt>
                <c:pt idx="1">
                  <c:v>Dados de Referência / Correções Dimensional</c:v>
                </c:pt>
                <c:pt idx="2">
                  <c:v>NC's</c:v>
                </c:pt>
                <c:pt idx="3">
                  <c:v>Melhorias / Protocol Aceitação Modelos</c:v>
                </c:pt>
                <c:pt idx="4">
                  <c:v>Alteração de Engenharia</c:v>
                </c:pt>
                <c:pt idx="5">
                  <c:v>Total de Relatórios</c:v>
                </c:pt>
              </c:strCache>
            </c:strRef>
          </c:cat>
          <c:val>
            <c:numRef>
              <c:f>'Report Template (23)'!$AA$2:$AA$7</c:f>
              <c:numCache>
                <c:formatCode>General</c:formatCode>
                <c:ptCount val="6"/>
                <c:pt idx="0">
                  <c:v>1</c:v>
                </c:pt>
                <c:pt idx="5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20"/>
        <c:overlap val="-25"/>
        <c:axId val="145933824"/>
        <c:axId val="145935360"/>
      </c:barChart>
      <c:catAx>
        <c:axId val="145933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45935360"/>
        <c:crosses val="autoZero"/>
        <c:auto val="1"/>
        <c:lblAlgn val="ctr"/>
        <c:lblOffset val="100"/>
        <c:noMultiLvlLbl val="0"/>
      </c:catAx>
      <c:valAx>
        <c:axId val="14593536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459338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Não</a:t>
            </a:r>
            <a:r>
              <a:rPr lang="pt-PT" sz="2800" baseline="0"/>
              <a:t> Conformidades</a:t>
            </a:r>
            <a:endParaRPr lang="pt-PT" sz="2800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(23)'!$Z$9:$Z$13</c:f>
              <c:strCache>
                <c:ptCount val="5"/>
                <c:pt idx="0">
                  <c:v>Método Plano</c:v>
                </c:pt>
                <c:pt idx="1">
                  <c:v>Die Design</c:v>
                </c:pt>
                <c:pt idx="2">
                  <c:v>Dados de Referência</c:v>
                </c:pt>
                <c:pt idx="3">
                  <c:v>Modelos Esferovite</c:v>
                </c:pt>
                <c:pt idx="4">
                  <c:v>Outras</c:v>
                </c:pt>
              </c:strCache>
            </c:strRef>
          </c:cat>
          <c:val>
            <c:numRef>
              <c:f>'Report Template (23)'!$AA$9:$AA$13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90"/>
        <c:overlap val="-30"/>
        <c:axId val="146066432"/>
        <c:axId val="146166528"/>
      </c:barChart>
      <c:catAx>
        <c:axId val="146066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46166528"/>
        <c:crosses val="autoZero"/>
        <c:auto val="1"/>
        <c:lblAlgn val="ctr"/>
        <c:lblOffset val="100"/>
        <c:noMultiLvlLbl val="0"/>
      </c:catAx>
      <c:valAx>
        <c:axId val="1461665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460664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Operações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Template (23)'!$AA$28</c:f>
              <c:strCache>
                <c:ptCount val="1"/>
                <c:pt idx="0">
                  <c:v>Método Plano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(23)'!$Z$15:$Z$24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(23)'!$AA$15:$AA$24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'Report Template (23)'!$AB$28</c:f>
              <c:strCache>
                <c:ptCount val="1"/>
                <c:pt idx="0">
                  <c:v>Die Design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(23)'!$Z$15:$Z$24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(23)'!$AB$15:$AB$24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'Report Template (23)'!$AC$28</c:f>
              <c:strCache>
                <c:ptCount val="1"/>
                <c:pt idx="0">
                  <c:v>Dados de Referência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(23)'!$Z$15:$Z$24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(23)'!$AC$15:$AC$24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'Report Template (23)'!$AD$28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(23)'!$Z$15:$Z$24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(23)'!$AD$15:$AD$24</c:f>
              <c:numCache>
                <c:formatCode>General</c:formatCode>
                <c:ptCount val="10"/>
                <c:pt idx="4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46346368"/>
        <c:axId val="146347904"/>
      </c:barChart>
      <c:catAx>
        <c:axId val="14634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/>
            </a:pPr>
            <a:endParaRPr lang="pt-PT"/>
          </a:p>
        </c:txPr>
        <c:crossAx val="146347904"/>
        <c:crosses val="autoZero"/>
        <c:auto val="1"/>
        <c:lblAlgn val="ctr"/>
        <c:lblOffset val="100"/>
        <c:noMultiLvlLbl val="0"/>
      </c:catAx>
      <c:valAx>
        <c:axId val="14634790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4634636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2000"/>
          </a:pPr>
          <a:endParaRPr lang="pt-P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Relatórios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(22)'!$Z$2:$Z$7</c:f>
              <c:strCache>
                <c:ptCount val="6"/>
                <c:pt idx="0">
                  <c:v>Projeto Base</c:v>
                </c:pt>
                <c:pt idx="1">
                  <c:v>Dados de Referência / Correções Dimensional</c:v>
                </c:pt>
                <c:pt idx="2">
                  <c:v>NC's</c:v>
                </c:pt>
                <c:pt idx="3">
                  <c:v>Melhorias / Protocol Aceitação Modelos</c:v>
                </c:pt>
                <c:pt idx="4">
                  <c:v>Alteração de Engenharia</c:v>
                </c:pt>
                <c:pt idx="5">
                  <c:v>Total de Relatórios</c:v>
                </c:pt>
              </c:strCache>
            </c:strRef>
          </c:cat>
          <c:val>
            <c:numRef>
              <c:f>'Report Template (22)'!$AA$2:$AA$7</c:f>
              <c:numCache>
                <c:formatCode>General</c:formatCode>
                <c:ptCount val="6"/>
                <c:pt idx="0">
                  <c:v>2</c:v>
                </c:pt>
                <c:pt idx="5">
                  <c:v>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20"/>
        <c:overlap val="-25"/>
        <c:axId val="145849728"/>
        <c:axId val="145880192"/>
      </c:barChart>
      <c:catAx>
        <c:axId val="14584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45880192"/>
        <c:crosses val="autoZero"/>
        <c:auto val="1"/>
        <c:lblAlgn val="ctr"/>
        <c:lblOffset val="100"/>
        <c:noMultiLvlLbl val="0"/>
      </c:catAx>
      <c:valAx>
        <c:axId val="14588019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458497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Não</a:t>
            </a:r>
            <a:r>
              <a:rPr lang="pt-PT" sz="2800" baseline="0"/>
              <a:t> Conformidades</a:t>
            </a:r>
            <a:endParaRPr lang="pt-PT" sz="2800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(22)'!$Z$9:$Z$13</c:f>
              <c:strCache>
                <c:ptCount val="5"/>
                <c:pt idx="0">
                  <c:v>Método Plano</c:v>
                </c:pt>
                <c:pt idx="1">
                  <c:v>Die Design</c:v>
                </c:pt>
                <c:pt idx="2">
                  <c:v>Dados de Referência</c:v>
                </c:pt>
                <c:pt idx="3">
                  <c:v>Modelos Esferovite</c:v>
                </c:pt>
                <c:pt idx="4">
                  <c:v>Outras</c:v>
                </c:pt>
              </c:strCache>
            </c:strRef>
          </c:cat>
          <c:val>
            <c:numRef>
              <c:f>'Report Template (22)'!$AA$9:$AA$13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90"/>
        <c:overlap val="-30"/>
        <c:axId val="145843328"/>
        <c:axId val="145844864"/>
      </c:barChart>
      <c:catAx>
        <c:axId val="145843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45844864"/>
        <c:crosses val="autoZero"/>
        <c:auto val="1"/>
        <c:lblAlgn val="ctr"/>
        <c:lblOffset val="100"/>
        <c:noMultiLvlLbl val="0"/>
      </c:catAx>
      <c:valAx>
        <c:axId val="14584486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45843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Operações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Template (22)'!$AA$28</c:f>
              <c:strCache>
                <c:ptCount val="1"/>
                <c:pt idx="0">
                  <c:v>Método Plano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(22)'!$Z$15:$Z$24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(22)'!$AA$15:$AA$24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'Report Template (22)'!$AB$28</c:f>
              <c:strCache>
                <c:ptCount val="1"/>
                <c:pt idx="0">
                  <c:v>Die Design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(22)'!$Z$15:$Z$24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(22)'!$AB$15:$AB$24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'Report Template (22)'!$AC$28</c:f>
              <c:strCache>
                <c:ptCount val="1"/>
                <c:pt idx="0">
                  <c:v>Dados de Referência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(22)'!$Z$15:$Z$24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(22)'!$AC$15:$AC$24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'Report Template (22)'!$AD$28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(22)'!$Z$15:$Z$24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(22)'!$AD$15:$AD$24</c:f>
              <c:numCache>
                <c:formatCode>General</c:formatCode>
                <c:ptCount val="10"/>
                <c:pt idx="2">
                  <c:v>1</c:v>
                </c:pt>
                <c:pt idx="4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45975552"/>
        <c:axId val="146051072"/>
      </c:barChart>
      <c:catAx>
        <c:axId val="145975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/>
            </a:pPr>
            <a:endParaRPr lang="pt-PT"/>
          </a:p>
        </c:txPr>
        <c:crossAx val="146051072"/>
        <c:crosses val="autoZero"/>
        <c:auto val="1"/>
        <c:lblAlgn val="ctr"/>
        <c:lblOffset val="100"/>
        <c:noMultiLvlLbl val="0"/>
      </c:catAx>
      <c:valAx>
        <c:axId val="14605107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45975552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2000"/>
          </a:pPr>
          <a:endParaRPr lang="pt-P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Relatórios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(21)'!$Z$2:$Z$7</c:f>
              <c:strCache>
                <c:ptCount val="6"/>
                <c:pt idx="0">
                  <c:v>Projeto Base</c:v>
                </c:pt>
                <c:pt idx="1">
                  <c:v>Dados de Referência / Correções Dimensional</c:v>
                </c:pt>
                <c:pt idx="2">
                  <c:v>NC's</c:v>
                </c:pt>
                <c:pt idx="3">
                  <c:v>Melhorias / Protocol Aceitação Modelos</c:v>
                </c:pt>
                <c:pt idx="4">
                  <c:v>Alteração de Engenharia</c:v>
                </c:pt>
                <c:pt idx="5">
                  <c:v>Total de Relatórios</c:v>
                </c:pt>
              </c:strCache>
            </c:strRef>
          </c:cat>
          <c:val>
            <c:numRef>
              <c:f>'Report Template (21)'!$AA$2:$AA$7</c:f>
              <c:numCache>
                <c:formatCode>General</c:formatCode>
                <c:ptCount val="6"/>
                <c:pt idx="0">
                  <c:v>2</c:v>
                </c:pt>
                <c:pt idx="4">
                  <c:v>1</c:v>
                </c:pt>
                <c:pt idx="5">
                  <c:v>3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20"/>
        <c:overlap val="-25"/>
        <c:axId val="138310784"/>
        <c:axId val="138312320"/>
      </c:barChart>
      <c:catAx>
        <c:axId val="13831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38312320"/>
        <c:crosses val="autoZero"/>
        <c:auto val="1"/>
        <c:lblAlgn val="ctr"/>
        <c:lblOffset val="100"/>
        <c:noMultiLvlLbl val="0"/>
      </c:catAx>
      <c:valAx>
        <c:axId val="13831232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8310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Não</a:t>
            </a:r>
            <a:r>
              <a:rPr lang="pt-PT" sz="2800" baseline="0"/>
              <a:t> Conformidades</a:t>
            </a:r>
            <a:endParaRPr lang="pt-PT" sz="2800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(21)'!$Z$9:$Z$13</c:f>
              <c:strCache>
                <c:ptCount val="5"/>
                <c:pt idx="0">
                  <c:v>Método Plano</c:v>
                </c:pt>
                <c:pt idx="1">
                  <c:v>Die Design</c:v>
                </c:pt>
                <c:pt idx="2">
                  <c:v>Dados de Referência</c:v>
                </c:pt>
                <c:pt idx="3">
                  <c:v>Modelos Esferovite</c:v>
                </c:pt>
                <c:pt idx="4">
                  <c:v>Outras</c:v>
                </c:pt>
              </c:strCache>
            </c:strRef>
          </c:cat>
          <c:val>
            <c:numRef>
              <c:f>'Report Template (21)'!$AA$9:$AA$13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90"/>
        <c:overlap val="-30"/>
        <c:axId val="138324608"/>
        <c:axId val="138359168"/>
      </c:barChart>
      <c:catAx>
        <c:axId val="13832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38359168"/>
        <c:crosses val="autoZero"/>
        <c:auto val="1"/>
        <c:lblAlgn val="ctr"/>
        <c:lblOffset val="100"/>
        <c:noMultiLvlLbl val="0"/>
      </c:catAx>
      <c:valAx>
        <c:axId val="13835916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83246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Operações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Template (21)'!$AA$28</c:f>
              <c:strCache>
                <c:ptCount val="1"/>
                <c:pt idx="0">
                  <c:v>Método Plano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(21)'!$Z$15:$Z$24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(21)'!$AA$15:$AA$24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'Report Template (21)'!$AB$28</c:f>
              <c:strCache>
                <c:ptCount val="1"/>
                <c:pt idx="0">
                  <c:v>Die Design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(21)'!$Z$15:$Z$24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(21)'!$AB$15:$AB$24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'Report Template (21)'!$AC$28</c:f>
              <c:strCache>
                <c:ptCount val="1"/>
                <c:pt idx="0">
                  <c:v>Dados de Referência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(21)'!$Z$15:$Z$24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(21)'!$AC$15:$AC$24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'Report Template (21)'!$AD$28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(21)'!$Z$15:$Z$24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(21)'!$AD$15:$AD$24</c:f>
              <c:numCache>
                <c:formatCode>General</c:formatCode>
                <c:ptCount val="10"/>
                <c:pt idx="1">
                  <c:v>2</c:v>
                </c:pt>
                <c:pt idx="4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45817600"/>
        <c:axId val="145819136"/>
      </c:barChart>
      <c:catAx>
        <c:axId val="145817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/>
            </a:pPr>
            <a:endParaRPr lang="pt-PT"/>
          </a:p>
        </c:txPr>
        <c:crossAx val="145819136"/>
        <c:crosses val="autoZero"/>
        <c:auto val="1"/>
        <c:lblAlgn val="ctr"/>
        <c:lblOffset val="100"/>
        <c:noMultiLvlLbl val="0"/>
      </c:catAx>
      <c:valAx>
        <c:axId val="14581913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4581760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2000"/>
          </a:pPr>
          <a:endParaRPr lang="pt-P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Relatórios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(20)'!$Z$2:$Z$7</c:f>
              <c:strCache>
                <c:ptCount val="6"/>
                <c:pt idx="0">
                  <c:v>Projeto Base</c:v>
                </c:pt>
                <c:pt idx="1">
                  <c:v>Dados de Referência / Correções Dimensional</c:v>
                </c:pt>
                <c:pt idx="2">
                  <c:v>NC's</c:v>
                </c:pt>
                <c:pt idx="3">
                  <c:v>Melhorias / Protocol Aceitação Modelos</c:v>
                </c:pt>
                <c:pt idx="4">
                  <c:v>Alteração de Engenharia</c:v>
                </c:pt>
                <c:pt idx="5">
                  <c:v>Total de Relatórios</c:v>
                </c:pt>
              </c:strCache>
            </c:strRef>
          </c:cat>
          <c:val>
            <c:numRef>
              <c:f>'Report Template (20)'!$AA$2:$AA$7</c:f>
              <c:numCache>
                <c:formatCode>General</c:formatCode>
                <c:ptCount val="6"/>
                <c:pt idx="0">
                  <c:v>14</c:v>
                </c:pt>
                <c:pt idx="1">
                  <c:v>6</c:v>
                </c:pt>
                <c:pt idx="3">
                  <c:v>4</c:v>
                </c:pt>
                <c:pt idx="5">
                  <c:v>24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20"/>
        <c:overlap val="-25"/>
        <c:axId val="137996928"/>
        <c:axId val="138068352"/>
      </c:barChart>
      <c:catAx>
        <c:axId val="13799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38068352"/>
        <c:crosses val="autoZero"/>
        <c:auto val="1"/>
        <c:lblAlgn val="ctr"/>
        <c:lblOffset val="100"/>
        <c:noMultiLvlLbl val="0"/>
      </c:catAx>
      <c:valAx>
        <c:axId val="13806835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79969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Não</a:t>
            </a:r>
            <a:r>
              <a:rPr lang="pt-PT" sz="2800" baseline="0"/>
              <a:t> Conformidades</a:t>
            </a:r>
            <a:endParaRPr lang="pt-PT" sz="2800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(20)'!$Z$9:$Z$13</c:f>
              <c:strCache>
                <c:ptCount val="5"/>
                <c:pt idx="0">
                  <c:v>Método Plano</c:v>
                </c:pt>
                <c:pt idx="1">
                  <c:v>Die Design</c:v>
                </c:pt>
                <c:pt idx="2">
                  <c:v>Dados de Referência</c:v>
                </c:pt>
                <c:pt idx="3">
                  <c:v>Modelos Esferovite</c:v>
                </c:pt>
                <c:pt idx="4">
                  <c:v>Outras</c:v>
                </c:pt>
              </c:strCache>
            </c:strRef>
          </c:cat>
          <c:val>
            <c:numRef>
              <c:f>'Report Template (20)'!$AA$9:$AA$13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90"/>
        <c:overlap val="-30"/>
        <c:axId val="138154368"/>
        <c:axId val="138155904"/>
      </c:barChart>
      <c:catAx>
        <c:axId val="13815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38155904"/>
        <c:crosses val="autoZero"/>
        <c:auto val="1"/>
        <c:lblAlgn val="ctr"/>
        <c:lblOffset val="100"/>
        <c:noMultiLvlLbl val="0"/>
      </c:catAx>
      <c:valAx>
        <c:axId val="13815590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81543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Operações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Template (20)'!$AA$28</c:f>
              <c:strCache>
                <c:ptCount val="1"/>
                <c:pt idx="0">
                  <c:v>Método Plano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(20)'!$Z$15:$Z$24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(20)'!$AA$15:$AA$24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'Report Template (20)'!$AB$28</c:f>
              <c:strCache>
                <c:ptCount val="1"/>
                <c:pt idx="0">
                  <c:v>Die Design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(20)'!$Z$15:$Z$24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(20)'!$AB$15:$AB$24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'Report Template (20)'!$AC$28</c:f>
              <c:strCache>
                <c:ptCount val="1"/>
                <c:pt idx="0">
                  <c:v>Dados de Referência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(20)'!$Z$15:$Z$24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(20)'!$AC$15:$AC$24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'Report Template (20)'!$AD$28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(20)'!$Z$15:$Z$24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(20)'!$AD$15:$AD$24</c:f>
              <c:numCache>
                <c:formatCode>General</c:formatCode>
                <c:ptCount val="10"/>
                <c:pt idx="4">
                  <c:v>9</c:v>
                </c:pt>
                <c:pt idx="6">
                  <c:v>2</c:v>
                </c:pt>
                <c:pt idx="8">
                  <c:v>2</c:v>
                </c:pt>
                <c:pt idx="9">
                  <c:v>11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38212864"/>
        <c:axId val="138214400"/>
      </c:barChart>
      <c:catAx>
        <c:axId val="13821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/>
            </a:pPr>
            <a:endParaRPr lang="pt-PT"/>
          </a:p>
        </c:txPr>
        <c:crossAx val="138214400"/>
        <c:crosses val="autoZero"/>
        <c:auto val="1"/>
        <c:lblAlgn val="ctr"/>
        <c:lblOffset val="100"/>
        <c:noMultiLvlLbl val="0"/>
      </c:catAx>
      <c:valAx>
        <c:axId val="1382144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821286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2000"/>
          </a:pPr>
          <a:endParaRPr lang="pt-P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Relatórios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(19)'!$Z$2:$Z$7</c:f>
              <c:strCache>
                <c:ptCount val="6"/>
                <c:pt idx="0">
                  <c:v>Projeto Base</c:v>
                </c:pt>
                <c:pt idx="1">
                  <c:v>Dados de Referência / Correções Dimensional</c:v>
                </c:pt>
                <c:pt idx="2">
                  <c:v>NC's</c:v>
                </c:pt>
                <c:pt idx="3">
                  <c:v>Melhorias / Protocol Aceitação Modelos</c:v>
                </c:pt>
                <c:pt idx="4">
                  <c:v>Alteração de Engenharia</c:v>
                </c:pt>
                <c:pt idx="5">
                  <c:v>Total de Relatórios</c:v>
                </c:pt>
              </c:strCache>
            </c:strRef>
          </c:cat>
          <c:val>
            <c:numRef>
              <c:f>'Report Template (19)'!$AA$2:$AA$7</c:f>
              <c:numCache>
                <c:formatCode>General</c:formatCode>
                <c:ptCount val="6"/>
                <c:pt idx="1">
                  <c:v>1</c:v>
                </c:pt>
                <c:pt idx="3">
                  <c:v>1</c:v>
                </c:pt>
                <c:pt idx="5">
                  <c:v>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20"/>
        <c:overlap val="-25"/>
        <c:axId val="137683328"/>
        <c:axId val="137684864"/>
      </c:barChart>
      <c:catAx>
        <c:axId val="137683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37684864"/>
        <c:crosses val="autoZero"/>
        <c:auto val="1"/>
        <c:lblAlgn val="ctr"/>
        <c:lblOffset val="100"/>
        <c:noMultiLvlLbl val="0"/>
      </c:catAx>
      <c:valAx>
        <c:axId val="13768486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7683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Não</a:t>
            </a:r>
            <a:r>
              <a:rPr lang="pt-PT" sz="2800" baseline="0"/>
              <a:t> Conformidades</a:t>
            </a:r>
            <a:endParaRPr lang="pt-PT" sz="2800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(19)'!$Z$9:$Z$13</c:f>
              <c:strCache>
                <c:ptCount val="5"/>
                <c:pt idx="0">
                  <c:v>Método Plano</c:v>
                </c:pt>
                <c:pt idx="1">
                  <c:v>Die Design</c:v>
                </c:pt>
                <c:pt idx="2">
                  <c:v>Dados de Referência</c:v>
                </c:pt>
                <c:pt idx="3">
                  <c:v>Modelos Esferovite</c:v>
                </c:pt>
                <c:pt idx="4">
                  <c:v>Outras</c:v>
                </c:pt>
              </c:strCache>
            </c:strRef>
          </c:cat>
          <c:val>
            <c:numRef>
              <c:f>'Report Template (19)'!$AA$9:$AA$13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90"/>
        <c:overlap val="-30"/>
        <c:axId val="137865088"/>
        <c:axId val="137866624"/>
      </c:barChart>
      <c:catAx>
        <c:axId val="137865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37866624"/>
        <c:crosses val="autoZero"/>
        <c:auto val="1"/>
        <c:lblAlgn val="ctr"/>
        <c:lblOffset val="100"/>
        <c:noMultiLvlLbl val="0"/>
      </c:catAx>
      <c:valAx>
        <c:axId val="13786662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78650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Operações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Template (19)'!$AA$28</c:f>
              <c:strCache>
                <c:ptCount val="1"/>
                <c:pt idx="0">
                  <c:v>Método Plano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(19)'!$Z$15:$Z$24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(19)'!$AA$15:$AA$24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'Report Template (19)'!$AB$28</c:f>
              <c:strCache>
                <c:ptCount val="1"/>
                <c:pt idx="0">
                  <c:v>Die Design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(19)'!$Z$15:$Z$24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(19)'!$AB$15:$AB$24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'Report Template (19)'!$AC$28</c:f>
              <c:strCache>
                <c:ptCount val="1"/>
                <c:pt idx="0">
                  <c:v>Dados de Referência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(19)'!$Z$15:$Z$24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(19)'!$AC$15:$AC$24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'Report Template (19)'!$AD$28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(19)'!$Z$15:$Z$24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(19)'!$AD$15:$AD$24</c:f>
              <c:numCache>
                <c:formatCode>General</c:formatCode>
                <c:ptCount val="10"/>
                <c:pt idx="8">
                  <c:v>1</c:v>
                </c:pt>
                <c:pt idx="9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37919488"/>
        <c:axId val="137941760"/>
      </c:barChart>
      <c:catAx>
        <c:axId val="13791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/>
            </a:pPr>
            <a:endParaRPr lang="pt-PT"/>
          </a:p>
        </c:txPr>
        <c:crossAx val="137941760"/>
        <c:crosses val="autoZero"/>
        <c:auto val="1"/>
        <c:lblAlgn val="ctr"/>
        <c:lblOffset val="100"/>
        <c:noMultiLvlLbl val="0"/>
      </c:catAx>
      <c:valAx>
        <c:axId val="13794176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791948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2000"/>
          </a:pPr>
          <a:endParaRPr lang="pt-P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Relatórios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(18)'!$Z$2:$Z$7</c:f>
              <c:strCache>
                <c:ptCount val="6"/>
                <c:pt idx="0">
                  <c:v>Projeto Base</c:v>
                </c:pt>
                <c:pt idx="1">
                  <c:v>Dados de Referência / Correções Dimensional</c:v>
                </c:pt>
                <c:pt idx="2">
                  <c:v>NC's</c:v>
                </c:pt>
                <c:pt idx="3">
                  <c:v>Melhorias / Protocol Aceitação Modelos</c:v>
                </c:pt>
                <c:pt idx="4">
                  <c:v>Alteração de Engenharia</c:v>
                </c:pt>
                <c:pt idx="5">
                  <c:v>Total de Relatórios</c:v>
                </c:pt>
              </c:strCache>
            </c:strRef>
          </c:cat>
          <c:val>
            <c:numRef>
              <c:f>'Report Template (18)'!$AA$2:$AA$7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5">
                  <c:v>3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20"/>
        <c:overlap val="-25"/>
        <c:axId val="136353664"/>
        <c:axId val="136355200"/>
      </c:barChart>
      <c:catAx>
        <c:axId val="13635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36355200"/>
        <c:crosses val="autoZero"/>
        <c:auto val="1"/>
        <c:lblAlgn val="ctr"/>
        <c:lblOffset val="100"/>
        <c:noMultiLvlLbl val="0"/>
      </c:catAx>
      <c:valAx>
        <c:axId val="1363552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6353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Não</a:t>
            </a:r>
            <a:r>
              <a:rPr lang="pt-PT" sz="2800" baseline="0"/>
              <a:t> Conformidades</a:t>
            </a:r>
            <a:endParaRPr lang="pt-PT" sz="2800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(18)'!$Z$9:$Z$13</c:f>
              <c:strCache>
                <c:ptCount val="5"/>
                <c:pt idx="0">
                  <c:v>Método Plano</c:v>
                </c:pt>
                <c:pt idx="1">
                  <c:v>Die Design</c:v>
                </c:pt>
                <c:pt idx="2">
                  <c:v>Dados de Referência</c:v>
                </c:pt>
                <c:pt idx="3">
                  <c:v>Modelos Esferovite</c:v>
                </c:pt>
                <c:pt idx="4">
                  <c:v>Outras</c:v>
                </c:pt>
              </c:strCache>
            </c:strRef>
          </c:cat>
          <c:val>
            <c:numRef>
              <c:f>'Report Template (18)'!$AA$9:$AA$13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90"/>
        <c:overlap val="-30"/>
        <c:axId val="136396160"/>
        <c:axId val="136402048"/>
      </c:barChart>
      <c:catAx>
        <c:axId val="136396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36402048"/>
        <c:crosses val="autoZero"/>
        <c:auto val="1"/>
        <c:lblAlgn val="ctr"/>
        <c:lblOffset val="100"/>
        <c:noMultiLvlLbl val="0"/>
      </c:catAx>
      <c:valAx>
        <c:axId val="13640204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63961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Operações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Template (18)'!$AA$28</c:f>
              <c:strCache>
                <c:ptCount val="1"/>
                <c:pt idx="0">
                  <c:v>Método Plano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(18)'!$Z$15:$Z$24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(18)'!$AA$15:$AA$24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'Report Template (18)'!$AB$28</c:f>
              <c:strCache>
                <c:ptCount val="1"/>
                <c:pt idx="0">
                  <c:v>Die Design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(18)'!$Z$15:$Z$24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(18)'!$AB$15:$AB$24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'Report Template (18)'!$AC$28</c:f>
              <c:strCache>
                <c:ptCount val="1"/>
                <c:pt idx="0">
                  <c:v>Dados de Referência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(18)'!$Z$15:$Z$24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(18)'!$AC$15:$AC$24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'Report Template (18)'!$AD$28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(18)'!$Z$15:$Z$24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(18)'!$AD$15:$AD$24</c:f>
              <c:numCache>
                <c:formatCode>General</c:formatCode>
                <c:ptCount val="10"/>
                <c:pt idx="7">
                  <c:v>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37638656"/>
        <c:axId val="137640192"/>
      </c:barChart>
      <c:catAx>
        <c:axId val="137638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/>
            </a:pPr>
            <a:endParaRPr lang="pt-PT"/>
          </a:p>
        </c:txPr>
        <c:crossAx val="137640192"/>
        <c:crosses val="autoZero"/>
        <c:auto val="1"/>
        <c:lblAlgn val="ctr"/>
        <c:lblOffset val="100"/>
        <c:noMultiLvlLbl val="0"/>
      </c:catAx>
      <c:valAx>
        <c:axId val="13764019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7638656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2000"/>
          </a:pPr>
          <a:endParaRPr lang="pt-P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Relatórios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(17)'!$Z$2:$Z$7</c:f>
              <c:strCache>
                <c:ptCount val="6"/>
                <c:pt idx="0">
                  <c:v>Projeto Base</c:v>
                </c:pt>
                <c:pt idx="1">
                  <c:v>Dados de Referência / Correções Dimensional</c:v>
                </c:pt>
                <c:pt idx="2">
                  <c:v>NC's</c:v>
                </c:pt>
                <c:pt idx="3">
                  <c:v>Melhorias / Protocol Aceitação Modelos</c:v>
                </c:pt>
                <c:pt idx="4">
                  <c:v>Alteração de Engenharia</c:v>
                </c:pt>
                <c:pt idx="5">
                  <c:v>Total de Relatórios</c:v>
                </c:pt>
              </c:strCache>
            </c:strRef>
          </c:cat>
          <c:val>
            <c:numRef>
              <c:f>'Report Template (17)'!$AA$2:$AA$7</c:f>
              <c:numCache>
                <c:formatCode>General</c:formatCode>
                <c:ptCount val="6"/>
                <c:pt idx="0">
                  <c:v>8</c:v>
                </c:pt>
                <c:pt idx="1">
                  <c:v>3</c:v>
                </c:pt>
                <c:pt idx="3">
                  <c:v>6</c:v>
                </c:pt>
                <c:pt idx="5">
                  <c:v>17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20"/>
        <c:overlap val="-25"/>
        <c:axId val="136203648"/>
        <c:axId val="136205440"/>
      </c:barChart>
      <c:catAx>
        <c:axId val="136203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36205440"/>
        <c:crosses val="autoZero"/>
        <c:auto val="1"/>
        <c:lblAlgn val="ctr"/>
        <c:lblOffset val="100"/>
        <c:noMultiLvlLbl val="0"/>
      </c:catAx>
      <c:valAx>
        <c:axId val="13620544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62036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Não</a:t>
            </a:r>
            <a:r>
              <a:rPr lang="pt-PT" sz="2800" baseline="0"/>
              <a:t> Conformidades</a:t>
            </a:r>
            <a:endParaRPr lang="pt-PT" sz="2800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(17)'!$Z$9:$Z$13</c:f>
              <c:strCache>
                <c:ptCount val="5"/>
                <c:pt idx="0">
                  <c:v>Método Plano</c:v>
                </c:pt>
                <c:pt idx="1">
                  <c:v>Die Design</c:v>
                </c:pt>
                <c:pt idx="2">
                  <c:v>Dados de Referência</c:v>
                </c:pt>
                <c:pt idx="3">
                  <c:v>Modelos Esferovite</c:v>
                </c:pt>
                <c:pt idx="4">
                  <c:v>Outras</c:v>
                </c:pt>
              </c:strCache>
            </c:strRef>
          </c:cat>
          <c:val>
            <c:numRef>
              <c:f>'Report Template (17)'!$AA$9:$AA$13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90"/>
        <c:overlap val="-30"/>
        <c:axId val="136275072"/>
        <c:axId val="136276608"/>
      </c:barChart>
      <c:catAx>
        <c:axId val="13627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36276608"/>
        <c:crosses val="autoZero"/>
        <c:auto val="1"/>
        <c:lblAlgn val="ctr"/>
        <c:lblOffset val="100"/>
        <c:noMultiLvlLbl val="0"/>
      </c:catAx>
      <c:valAx>
        <c:axId val="13627660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6275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Operações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Template (17)'!$AA$28</c:f>
              <c:strCache>
                <c:ptCount val="1"/>
                <c:pt idx="0">
                  <c:v>Método Plano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(17)'!$Z$15:$Z$24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(17)'!$AA$15:$AA$24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'Report Template (17)'!$AB$28</c:f>
              <c:strCache>
                <c:ptCount val="1"/>
                <c:pt idx="0">
                  <c:v>Die Design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(17)'!$Z$15:$Z$24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(17)'!$AB$15:$AB$24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'Report Template (17)'!$AC$28</c:f>
              <c:strCache>
                <c:ptCount val="1"/>
                <c:pt idx="0">
                  <c:v>Dados de Referência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(17)'!$Z$15:$Z$24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(17)'!$AC$15:$AC$24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'Report Template (17)'!$AD$28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(17)'!$Z$15:$Z$24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(17)'!$AD$15:$AD$24</c:f>
              <c:numCache>
                <c:formatCode>General</c:formatCode>
                <c:ptCount val="10"/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8">
                  <c:v>3</c:v>
                </c:pt>
                <c:pt idx="9">
                  <c:v>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36317184"/>
        <c:axId val="136327168"/>
      </c:barChart>
      <c:catAx>
        <c:axId val="13631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/>
            </a:pPr>
            <a:endParaRPr lang="pt-PT"/>
          </a:p>
        </c:txPr>
        <c:crossAx val="136327168"/>
        <c:crosses val="autoZero"/>
        <c:auto val="1"/>
        <c:lblAlgn val="ctr"/>
        <c:lblOffset val="100"/>
        <c:noMultiLvlLbl val="0"/>
      </c:catAx>
      <c:valAx>
        <c:axId val="13632716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631718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2000"/>
          </a:pPr>
          <a:endParaRPr lang="pt-P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Relatórios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(16)'!$Z$2:$Z$7</c:f>
              <c:strCache>
                <c:ptCount val="6"/>
                <c:pt idx="0">
                  <c:v>Projeto Base</c:v>
                </c:pt>
                <c:pt idx="1">
                  <c:v>Dados de Referência / Correções Dimensional</c:v>
                </c:pt>
                <c:pt idx="2">
                  <c:v>NC's</c:v>
                </c:pt>
                <c:pt idx="3">
                  <c:v>Melhorias / Protocol Aceitação Modelos</c:v>
                </c:pt>
                <c:pt idx="4">
                  <c:v>Alteração de Engenharia</c:v>
                </c:pt>
                <c:pt idx="5">
                  <c:v>Total de Relatórios</c:v>
                </c:pt>
              </c:strCache>
            </c:strRef>
          </c:cat>
          <c:val>
            <c:numRef>
              <c:f>'Report Template (16)'!$AA$2:$AA$7</c:f>
              <c:numCache>
                <c:formatCode>General</c:formatCode>
                <c:ptCount val="6"/>
                <c:pt idx="0">
                  <c:v>15</c:v>
                </c:pt>
                <c:pt idx="1">
                  <c:v>15</c:v>
                </c:pt>
                <c:pt idx="2">
                  <c:v>8</c:v>
                </c:pt>
                <c:pt idx="3">
                  <c:v>8</c:v>
                </c:pt>
                <c:pt idx="4">
                  <c:v>1</c:v>
                </c:pt>
                <c:pt idx="5">
                  <c:v>47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20"/>
        <c:overlap val="-25"/>
        <c:axId val="133862528"/>
        <c:axId val="133864064"/>
      </c:barChart>
      <c:catAx>
        <c:axId val="13386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33864064"/>
        <c:crosses val="autoZero"/>
        <c:auto val="1"/>
        <c:lblAlgn val="ctr"/>
        <c:lblOffset val="100"/>
        <c:noMultiLvlLbl val="0"/>
      </c:catAx>
      <c:valAx>
        <c:axId val="13386406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38625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Não</a:t>
            </a:r>
            <a:r>
              <a:rPr lang="pt-PT" sz="2800" baseline="0"/>
              <a:t> Conformidades</a:t>
            </a:r>
            <a:endParaRPr lang="pt-PT" sz="2800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(16)'!$Z$9:$Z$13</c:f>
              <c:strCache>
                <c:ptCount val="5"/>
                <c:pt idx="0">
                  <c:v>Método Plano</c:v>
                </c:pt>
                <c:pt idx="1">
                  <c:v>Die Design</c:v>
                </c:pt>
                <c:pt idx="2">
                  <c:v>Dados de Referência</c:v>
                </c:pt>
                <c:pt idx="3">
                  <c:v>Modelos Esferovite</c:v>
                </c:pt>
                <c:pt idx="4">
                  <c:v>Outras</c:v>
                </c:pt>
              </c:strCache>
            </c:strRef>
          </c:cat>
          <c:val>
            <c:numRef>
              <c:f>'Report Template (16)'!$AA$9:$AA$13</c:f>
              <c:numCache>
                <c:formatCode>General</c:formatCode>
                <c:ptCount val="5"/>
                <c:pt idx="0">
                  <c:v>7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90"/>
        <c:overlap val="-30"/>
        <c:axId val="133884544"/>
        <c:axId val="133902720"/>
      </c:barChart>
      <c:catAx>
        <c:axId val="13388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33902720"/>
        <c:crosses val="autoZero"/>
        <c:auto val="1"/>
        <c:lblAlgn val="ctr"/>
        <c:lblOffset val="100"/>
        <c:noMultiLvlLbl val="0"/>
      </c:catAx>
      <c:valAx>
        <c:axId val="13390272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38845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Operações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Template (16)'!$AA$28</c:f>
              <c:strCache>
                <c:ptCount val="1"/>
                <c:pt idx="0">
                  <c:v>Método Plano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(16)'!$Z$15:$Z$24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(16)'!$AA$15:$AA$24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'Report Template (16)'!$AB$28</c:f>
              <c:strCache>
                <c:ptCount val="1"/>
                <c:pt idx="0">
                  <c:v>Die Design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(16)'!$Z$15:$Z$24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(16)'!$AB$15:$AB$24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'Report Template (16)'!$AC$28</c:f>
              <c:strCache>
                <c:ptCount val="1"/>
                <c:pt idx="0">
                  <c:v>Dados de Referência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(16)'!$Z$15:$Z$24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(16)'!$AC$15:$AC$24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'Report Template (16)'!$AD$28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(16)'!$Z$15:$Z$24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(16)'!$AD$15:$AD$24</c:f>
              <c:numCache>
                <c:formatCode>General</c:formatCode>
                <c:ptCount val="10"/>
                <c:pt idx="1">
                  <c:v>5</c:v>
                </c:pt>
                <c:pt idx="4">
                  <c:v>9</c:v>
                </c:pt>
                <c:pt idx="6">
                  <c:v>5</c:v>
                </c:pt>
                <c:pt idx="7">
                  <c:v>6</c:v>
                </c:pt>
                <c:pt idx="8">
                  <c:v>13</c:v>
                </c:pt>
                <c:pt idx="9">
                  <c:v>7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35081984"/>
        <c:axId val="135083520"/>
      </c:barChart>
      <c:catAx>
        <c:axId val="135081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/>
            </a:pPr>
            <a:endParaRPr lang="pt-PT"/>
          </a:p>
        </c:txPr>
        <c:crossAx val="135083520"/>
        <c:crosses val="autoZero"/>
        <c:auto val="1"/>
        <c:lblAlgn val="ctr"/>
        <c:lblOffset val="100"/>
        <c:noMultiLvlLbl val="0"/>
      </c:catAx>
      <c:valAx>
        <c:axId val="13508352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508198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2000"/>
          </a:pPr>
          <a:endParaRPr lang="pt-P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Relatórios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(15)'!$Z$2:$Z$7</c:f>
              <c:strCache>
                <c:ptCount val="6"/>
                <c:pt idx="0">
                  <c:v>Projeto Base</c:v>
                </c:pt>
                <c:pt idx="1">
                  <c:v>Dados de Referência / Correções Dimensional</c:v>
                </c:pt>
                <c:pt idx="2">
                  <c:v>NC's</c:v>
                </c:pt>
                <c:pt idx="3">
                  <c:v>Melhorias / Protocol Aceitação Modelos</c:v>
                </c:pt>
                <c:pt idx="4">
                  <c:v>Alteração de Engenharia</c:v>
                </c:pt>
                <c:pt idx="5">
                  <c:v>Total de Relatórios</c:v>
                </c:pt>
              </c:strCache>
            </c:strRef>
          </c:cat>
          <c:val>
            <c:numRef>
              <c:f>'Report Template (15)'!$AA$2:$AA$7</c:f>
              <c:numCache>
                <c:formatCode>General</c:formatCode>
                <c:ptCount val="6"/>
                <c:pt idx="0">
                  <c:v>3</c:v>
                </c:pt>
                <c:pt idx="1">
                  <c:v>6</c:v>
                </c:pt>
                <c:pt idx="2">
                  <c:v>2</c:v>
                </c:pt>
                <c:pt idx="4">
                  <c:v>2</c:v>
                </c:pt>
                <c:pt idx="5">
                  <c:v>13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20"/>
        <c:overlap val="-25"/>
        <c:axId val="133188224"/>
        <c:axId val="133194112"/>
      </c:barChart>
      <c:catAx>
        <c:axId val="13318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33194112"/>
        <c:crosses val="autoZero"/>
        <c:auto val="1"/>
        <c:lblAlgn val="ctr"/>
        <c:lblOffset val="100"/>
        <c:noMultiLvlLbl val="0"/>
      </c:catAx>
      <c:valAx>
        <c:axId val="13319411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31882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Não</a:t>
            </a:r>
            <a:r>
              <a:rPr lang="pt-PT" sz="2800" baseline="0"/>
              <a:t> Conformidades</a:t>
            </a:r>
            <a:endParaRPr lang="pt-PT" sz="2800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(15)'!$Z$9:$Z$13</c:f>
              <c:strCache>
                <c:ptCount val="5"/>
                <c:pt idx="0">
                  <c:v>Método Plano</c:v>
                </c:pt>
                <c:pt idx="1">
                  <c:v>Die Design</c:v>
                </c:pt>
                <c:pt idx="2">
                  <c:v>Dados de Referência</c:v>
                </c:pt>
                <c:pt idx="3">
                  <c:v>Modelos Esferovite</c:v>
                </c:pt>
                <c:pt idx="4">
                  <c:v>Outras</c:v>
                </c:pt>
              </c:strCache>
            </c:strRef>
          </c:cat>
          <c:val>
            <c:numRef>
              <c:f>'Report Template (15)'!$AA$9:$AA$13</c:f>
              <c:numCache>
                <c:formatCode>General</c:formatCode>
                <c:ptCount val="5"/>
                <c:pt idx="0">
                  <c:v>1</c:v>
                </c:pt>
                <c:pt idx="2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90"/>
        <c:overlap val="-30"/>
        <c:axId val="133202304"/>
        <c:axId val="133203840"/>
      </c:barChart>
      <c:catAx>
        <c:axId val="13320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33203840"/>
        <c:crosses val="autoZero"/>
        <c:auto val="1"/>
        <c:lblAlgn val="ctr"/>
        <c:lblOffset val="100"/>
        <c:noMultiLvlLbl val="0"/>
      </c:catAx>
      <c:valAx>
        <c:axId val="13320384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32023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Operações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Template (15)'!$AA$28</c:f>
              <c:strCache>
                <c:ptCount val="1"/>
                <c:pt idx="0">
                  <c:v>Método Plano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(15)'!$Z$15:$Z$24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(15)'!$AA$15:$AA$24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'Report Template (15)'!$AB$28</c:f>
              <c:strCache>
                <c:ptCount val="1"/>
                <c:pt idx="0">
                  <c:v>Die Design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(15)'!$Z$15:$Z$24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(15)'!$AB$15:$AB$24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'Report Template (15)'!$AC$28</c:f>
              <c:strCache>
                <c:ptCount val="1"/>
                <c:pt idx="0">
                  <c:v>Dados de Referência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(15)'!$Z$15:$Z$24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(15)'!$AC$15:$AC$24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'Report Template (15)'!$AD$28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(15)'!$Z$15:$Z$24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(15)'!$AD$15:$AD$24</c:f>
              <c:numCache>
                <c:formatCode>General</c:formatCode>
                <c:ptCount val="10"/>
                <c:pt idx="4">
                  <c:v>3</c:v>
                </c:pt>
                <c:pt idx="5">
                  <c:v>5</c:v>
                </c:pt>
                <c:pt idx="6">
                  <c:v>4</c:v>
                </c:pt>
                <c:pt idx="7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33252608"/>
        <c:axId val="133254144"/>
      </c:barChart>
      <c:catAx>
        <c:axId val="13325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/>
            </a:pPr>
            <a:endParaRPr lang="pt-PT"/>
          </a:p>
        </c:txPr>
        <c:crossAx val="133254144"/>
        <c:crosses val="autoZero"/>
        <c:auto val="1"/>
        <c:lblAlgn val="ctr"/>
        <c:lblOffset val="100"/>
        <c:noMultiLvlLbl val="0"/>
      </c:catAx>
      <c:valAx>
        <c:axId val="13325414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325260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2000"/>
          </a:pPr>
          <a:endParaRPr lang="pt-P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Relatórios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(14)'!$Z$2:$Z$7</c:f>
              <c:strCache>
                <c:ptCount val="6"/>
                <c:pt idx="0">
                  <c:v>Projeto Base</c:v>
                </c:pt>
                <c:pt idx="1">
                  <c:v>Dados de Referência / Correções Dimensional</c:v>
                </c:pt>
                <c:pt idx="2">
                  <c:v>NC's</c:v>
                </c:pt>
                <c:pt idx="3">
                  <c:v>Melhorias / Protocol Aceitação Modelos</c:v>
                </c:pt>
                <c:pt idx="4">
                  <c:v>Alteração de Engenharia</c:v>
                </c:pt>
                <c:pt idx="5">
                  <c:v>Total de Relatórios</c:v>
                </c:pt>
              </c:strCache>
            </c:strRef>
          </c:cat>
          <c:val>
            <c:numRef>
              <c:f>'Report Template (14)'!$AA$2:$AA$7</c:f>
              <c:numCache>
                <c:formatCode>General</c:formatCode>
                <c:ptCount val="6"/>
                <c:pt idx="0">
                  <c:v>9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14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20"/>
        <c:overlap val="-25"/>
        <c:axId val="133058944"/>
        <c:axId val="133060480"/>
      </c:barChart>
      <c:catAx>
        <c:axId val="133058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33060480"/>
        <c:crosses val="autoZero"/>
        <c:auto val="1"/>
        <c:lblAlgn val="ctr"/>
        <c:lblOffset val="100"/>
        <c:noMultiLvlLbl val="0"/>
      </c:catAx>
      <c:valAx>
        <c:axId val="13306048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30589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Não</a:t>
            </a:r>
            <a:r>
              <a:rPr lang="pt-PT" sz="2800" baseline="0"/>
              <a:t> Conformidades</a:t>
            </a:r>
            <a:endParaRPr lang="pt-PT" sz="2800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(14)'!$Z$9:$Z$13</c:f>
              <c:strCache>
                <c:ptCount val="5"/>
                <c:pt idx="0">
                  <c:v>Método Plano</c:v>
                </c:pt>
                <c:pt idx="1">
                  <c:v>Die Design</c:v>
                </c:pt>
                <c:pt idx="2">
                  <c:v>Dados de Referência</c:v>
                </c:pt>
                <c:pt idx="3">
                  <c:v>Modelos Esferovite</c:v>
                </c:pt>
                <c:pt idx="4">
                  <c:v>Outras</c:v>
                </c:pt>
              </c:strCache>
            </c:strRef>
          </c:cat>
          <c:val>
            <c:numRef>
              <c:f>'Report Template (14)'!$AA$9:$AA$13</c:f>
              <c:numCache>
                <c:formatCode>General</c:formatCode>
                <c:ptCount val="5"/>
                <c:pt idx="1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90"/>
        <c:overlap val="-30"/>
        <c:axId val="133076864"/>
        <c:axId val="133078400"/>
      </c:barChart>
      <c:catAx>
        <c:axId val="133076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33078400"/>
        <c:crosses val="autoZero"/>
        <c:auto val="1"/>
        <c:lblAlgn val="ctr"/>
        <c:lblOffset val="100"/>
        <c:noMultiLvlLbl val="0"/>
      </c:catAx>
      <c:valAx>
        <c:axId val="1330784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30768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Operações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Template (14)'!$AA$28</c:f>
              <c:strCache>
                <c:ptCount val="1"/>
                <c:pt idx="0">
                  <c:v>Método Plano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(14)'!$Z$15:$Z$24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(14)'!$AA$15:$AA$24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'Report Template (14)'!$AB$28</c:f>
              <c:strCache>
                <c:ptCount val="1"/>
                <c:pt idx="0">
                  <c:v>Die Design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(14)'!$Z$15:$Z$24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(14)'!$AB$15:$AB$24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'Report Template (14)'!$AC$28</c:f>
              <c:strCache>
                <c:ptCount val="1"/>
                <c:pt idx="0">
                  <c:v>Dados de Referência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(14)'!$Z$15:$Z$24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(14)'!$AC$15:$AC$24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'Report Template (14)'!$AD$28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(14)'!$Z$15:$Z$24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(14)'!$AD$15:$AD$24</c:f>
              <c:numCache>
                <c:formatCode>General</c:formatCode>
                <c:ptCount val="10"/>
                <c:pt idx="1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33110784"/>
        <c:axId val="133149440"/>
      </c:barChart>
      <c:catAx>
        <c:axId val="13311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/>
            </a:pPr>
            <a:endParaRPr lang="pt-PT"/>
          </a:p>
        </c:txPr>
        <c:crossAx val="133149440"/>
        <c:crosses val="autoZero"/>
        <c:auto val="1"/>
        <c:lblAlgn val="ctr"/>
        <c:lblOffset val="100"/>
        <c:noMultiLvlLbl val="0"/>
      </c:catAx>
      <c:valAx>
        <c:axId val="13314944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311078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2000"/>
          </a:pPr>
          <a:endParaRPr lang="pt-P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Relatórios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(13)'!$Z$2:$Z$7</c:f>
              <c:strCache>
                <c:ptCount val="6"/>
                <c:pt idx="0">
                  <c:v>Projeto Base</c:v>
                </c:pt>
                <c:pt idx="1">
                  <c:v>Dados de Referência / Correções Dimensional</c:v>
                </c:pt>
                <c:pt idx="2">
                  <c:v>NC's</c:v>
                </c:pt>
                <c:pt idx="3">
                  <c:v>Melhorias / Protocol Aceitação Modelos</c:v>
                </c:pt>
                <c:pt idx="4">
                  <c:v>Alteração de Engenharia</c:v>
                </c:pt>
                <c:pt idx="5">
                  <c:v>Total de Relatórios</c:v>
                </c:pt>
              </c:strCache>
            </c:strRef>
          </c:cat>
          <c:val>
            <c:numRef>
              <c:f>'Report Template (13)'!$AA$2:$AA$7</c:f>
              <c:numCache>
                <c:formatCode>General</c:formatCode>
                <c:ptCount val="6"/>
                <c:pt idx="4">
                  <c:v>1</c:v>
                </c:pt>
                <c:pt idx="5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20"/>
        <c:overlap val="-25"/>
        <c:axId val="129800064"/>
        <c:axId val="129801600"/>
      </c:barChart>
      <c:catAx>
        <c:axId val="129800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29801600"/>
        <c:crosses val="autoZero"/>
        <c:auto val="1"/>
        <c:lblAlgn val="ctr"/>
        <c:lblOffset val="100"/>
        <c:noMultiLvlLbl val="0"/>
      </c:catAx>
      <c:valAx>
        <c:axId val="1298016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9800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Não</a:t>
            </a:r>
            <a:r>
              <a:rPr lang="pt-PT" sz="2800" baseline="0"/>
              <a:t> Conformidades</a:t>
            </a:r>
            <a:endParaRPr lang="pt-PT" sz="2800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(13)'!$Z$9:$Z$13</c:f>
              <c:strCache>
                <c:ptCount val="5"/>
                <c:pt idx="0">
                  <c:v>Método Plano</c:v>
                </c:pt>
                <c:pt idx="1">
                  <c:v>Die Design</c:v>
                </c:pt>
                <c:pt idx="2">
                  <c:v>Dados de Referência</c:v>
                </c:pt>
                <c:pt idx="3">
                  <c:v>Modelos Esferovite</c:v>
                </c:pt>
                <c:pt idx="4">
                  <c:v>Outras</c:v>
                </c:pt>
              </c:strCache>
            </c:strRef>
          </c:cat>
          <c:val>
            <c:numRef>
              <c:f>'Report Template (13)'!$AA$9:$AA$13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90"/>
        <c:overlap val="-30"/>
        <c:axId val="132545920"/>
        <c:axId val="132568192"/>
      </c:barChart>
      <c:catAx>
        <c:axId val="13254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32568192"/>
        <c:crosses val="autoZero"/>
        <c:auto val="1"/>
        <c:lblAlgn val="ctr"/>
        <c:lblOffset val="100"/>
        <c:noMultiLvlLbl val="0"/>
      </c:catAx>
      <c:valAx>
        <c:axId val="13256819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2545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Operações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Template (13)'!$AA$28</c:f>
              <c:strCache>
                <c:ptCount val="1"/>
                <c:pt idx="0">
                  <c:v>Método Plano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(13)'!$Z$15:$Z$24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(13)'!$AA$15:$AA$24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'Report Template (13)'!$AB$28</c:f>
              <c:strCache>
                <c:ptCount val="1"/>
                <c:pt idx="0">
                  <c:v>Die Design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(13)'!$Z$15:$Z$24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(13)'!$AB$15:$AB$24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'Report Template (13)'!$AC$28</c:f>
              <c:strCache>
                <c:ptCount val="1"/>
                <c:pt idx="0">
                  <c:v>Dados de Referência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(13)'!$Z$15:$Z$24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(13)'!$AC$15:$AC$24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'Report Template (13)'!$AD$28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(13)'!$Z$15:$Z$24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(13)'!$AD$15:$AD$24</c:f>
              <c:numCache>
                <c:formatCode>General</c:formatCode>
                <c:ptCount val="10"/>
                <c:pt idx="5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32985600"/>
        <c:axId val="132987136"/>
      </c:barChart>
      <c:catAx>
        <c:axId val="132985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/>
            </a:pPr>
            <a:endParaRPr lang="pt-PT"/>
          </a:p>
        </c:txPr>
        <c:crossAx val="132987136"/>
        <c:crosses val="autoZero"/>
        <c:auto val="1"/>
        <c:lblAlgn val="ctr"/>
        <c:lblOffset val="100"/>
        <c:noMultiLvlLbl val="0"/>
      </c:catAx>
      <c:valAx>
        <c:axId val="13298713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298560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2000"/>
          </a:pPr>
          <a:endParaRPr lang="pt-P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Relatórios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(12)'!$Z$2:$Z$7</c:f>
              <c:strCache>
                <c:ptCount val="6"/>
                <c:pt idx="0">
                  <c:v>Projeto Base</c:v>
                </c:pt>
                <c:pt idx="1">
                  <c:v>Dados de Referência / Correções Dimensional</c:v>
                </c:pt>
                <c:pt idx="2">
                  <c:v>NC's</c:v>
                </c:pt>
                <c:pt idx="3">
                  <c:v>Melhorias / Protocol Aceitação Modelos</c:v>
                </c:pt>
                <c:pt idx="4">
                  <c:v>Alteração de Engenharia</c:v>
                </c:pt>
                <c:pt idx="5">
                  <c:v>Total de Relatórios</c:v>
                </c:pt>
              </c:strCache>
            </c:strRef>
          </c:cat>
          <c:val>
            <c:numRef>
              <c:f>'Report Template (12)'!$AA$2:$AA$7</c:f>
              <c:numCache>
                <c:formatCode>General</c:formatCode>
                <c:ptCount val="6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5">
                  <c:v>6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20"/>
        <c:overlap val="-25"/>
        <c:axId val="129568128"/>
        <c:axId val="129578112"/>
      </c:barChart>
      <c:catAx>
        <c:axId val="129568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29578112"/>
        <c:crosses val="autoZero"/>
        <c:auto val="1"/>
        <c:lblAlgn val="ctr"/>
        <c:lblOffset val="100"/>
        <c:noMultiLvlLbl val="0"/>
      </c:catAx>
      <c:valAx>
        <c:axId val="12957811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95681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Não</a:t>
            </a:r>
            <a:r>
              <a:rPr lang="pt-PT" sz="2800" baseline="0"/>
              <a:t> Conformidades</a:t>
            </a:r>
            <a:endParaRPr lang="pt-PT" sz="2800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(12)'!$Z$9:$Z$13</c:f>
              <c:strCache>
                <c:ptCount val="5"/>
                <c:pt idx="0">
                  <c:v>Método Plano</c:v>
                </c:pt>
                <c:pt idx="1">
                  <c:v>Die Design</c:v>
                </c:pt>
                <c:pt idx="2">
                  <c:v>Dados de Referência</c:v>
                </c:pt>
                <c:pt idx="3">
                  <c:v>Modelos Esferovite</c:v>
                </c:pt>
                <c:pt idx="4">
                  <c:v>Outras</c:v>
                </c:pt>
              </c:strCache>
            </c:strRef>
          </c:cat>
          <c:val>
            <c:numRef>
              <c:f>'Report Template (12)'!$AA$9:$AA$13</c:f>
              <c:numCache>
                <c:formatCode>General</c:formatCode>
                <c:ptCount val="5"/>
                <c:pt idx="0">
                  <c:v>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90"/>
        <c:overlap val="-30"/>
        <c:axId val="129619072"/>
        <c:axId val="129620608"/>
      </c:barChart>
      <c:catAx>
        <c:axId val="12961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29620608"/>
        <c:crosses val="autoZero"/>
        <c:auto val="1"/>
        <c:lblAlgn val="ctr"/>
        <c:lblOffset val="100"/>
        <c:noMultiLvlLbl val="0"/>
      </c:catAx>
      <c:valAx>
        <c:axId val="12962060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9619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Operações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Template (12)'!$AA$28</c:f>
              <c:strCache>
                <c:ptCount val="1"/>
                <c:pt idx="0">
                  <c:v>Método Plano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(12)'!$Z$15:$Z$24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(12)'!$AA$15:$AA$24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'Report Template (12)'!$AB$28</c:f>
              <c:strCache>
                <c:ptCount val="1"/>
                <c:pt idx="0">
                  <c:v>Die Design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(12)'!$Z$15:$Z$24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(12)'!$AB$15:$AB$24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'Report Template (12)'!$AC$28</c:f>
              <c:strCache>
                <c:ptCount val="1"/>
                <c:pt idx="0">
                  <c:v>Dados de Referência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(12)'!$Z$15:$Z$24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(12)'!$AC$15:$AC$24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'Report Template (12)'!$AD$28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(12)'!$Z$15:$Z$24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(12)'!$AD$15:$AD$24</c:f>
              <c:numCache>
                <c:formatCode>General</c:formatCode>
                <c:ptCount val="10"/>
                <c:pt idx="4">
                  <c:v>5</c:v>
                </c:pt>
                <c:pt idx="6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29763584"/>
        <c:axId val="129765376"/>
      </c:barChart>
      <c:catAx>
        <c:axId val="12976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/>
            </a:pPr>
            <a:endParaRPr lang="pt-PT"/>
          </a:p>
        </c:txPr>
        <c:crossAx val="129765376"/>
        <c:crosses val="autoZero"/>
        <c:auto val="1"/>
        <c:lblAlgn val="ctr"/>
        <c:lblOffset val="100"/>
        <c:noMultiLvlLbl val="0"/>
      </c:catAx>
      <c:valAx>
        <c:axId val="1297653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976358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2000"/>
          </a:pPr>
          <a:endParaRPr lang="pt-P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Relatórios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(11)'!$Z$2:$Z$7</c:f>
              <c:strCache>
                <c:ptCount val="6"/>
                <c:pt idx="0">
                  <c:v>Projeto Base</c:v>
                </c:pt>
                <c:pt idx="1">
                  <c:v>Dados de Referência / Correções Dimensional</c:v>
                </c:pt>
                <c:pt idx="2">
                  <c:v>NC's</c:v>
                </c:pt>
                <c:pt idx="3">
                  <c:v>Melhorias / Protocol Aceitação Modelos</c:v>
                </c:pt>
                <c:pt idx="4">
                  <c:v>Alteração de Engenharia</c:v>
                </c:pt>
                <c:pt idx="5">
                  <c:v>Total de Relatórios</c:v>
                </c:pt>
              </c:strCache>
            </c:strRef>
          </c:cat>
          <c:val>
            <c:numRef>
              <c:f>'Report Template (11)'!$AA$2:$AA$7</c:f>
              <c:numCache>
                <c:formatCode>General</c:formatCode>
                <c:ptCount val="6"/>
                <c:pt idx="1">
                  <c:v>1</c:v>
                </c:pt>
                <c:pt idx="5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20"/>
        <c:overlap val="-25"/>
        <c:axId val="122181120"/>
        <c:axId val="122182656"/>
      </c:barChart>
      <c:catAx>
        <c:axId val="12218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22182656"/>
        <c:crosses val="autoZero"/>
        <c:auto val="1"/>
        <c:lblAlgn val="ctr"/>
        <c:lblOffset val="100"/>
        <c:noMultiLvlLbl val="0"/>
      </c:catAx>
      <c:valAx>
        <c:axId val="12218265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21811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Não</a:t>
            </a:r>
            <a:r>
              <a:rPr lang="pt-PT" sz="2800" baseline="0"/>
              <a:t> Conformidades</a:t>
            </a:r>
            <a:endParaRPr lang="pt-PT" sz="2800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(11)'!$Z$9:$Z$13</c:f>
              <c:strCache>
                <c:ptCount val="5"/>
                <c:pt idx="0">
                  <c:v>Método Plano</c:v>
                </c:pt>
                <c:pt idx="1">
                  <c:v>Die Design</c:v>
                </c:pt>
                <c:pt idx="2">
                  <c:v>Dados de Referência</c:v>
                </c:pt>
                <c:pt idx="3">
                  <c:v>Modelos Esferovite</c:v>
                </c:pt>
                <c:pt idx="4">
                  <c:v>Outras</c:v>
                </c:pt>
              </c:strCache>
            </c:strRef>
          </c:cat>
          <c:val>
            <c:numRef>
              <c:f>'Report Template (11)'!$AA$9:$AA$13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90"/>
        <c:overlap val="-30"/>
        <c:axId val="122202368"/>
        <c:axId val="122564608"/>
      </c:barChart>
      <c:catAx>
        <c:axId val="122202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22564608"/>
        <c:crosses val="autoZero"/>
        <c:auto val="1"/>
        <c:lblAlgn val="ctr"/>
        <c:lblOffset val="100"/>
        <c:noMultiLvlLbl val="0"/>
      </c:catAx>
      <c:valAx>
        <c:axId val="12256460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22023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Operações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Template (11)'!$AA$28</c:f>
              <c:strCache>
                <c:ptCount val="1"/>
                <c:pt idx="0">
                  <c:v>Método Plano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(11)'!$Z$15:$Z$24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(11)'!$AA$15:$AA$24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'Report Template (11)'!$AB$28</c:f>
              <c:strCache>
                <c:ptCount val="1"/>
                <c:pt idx="0">
                  <c:v>Die Design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(11)'!$Z$15:$Z$24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(11)'!$AB$15:$AB$24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'Report Template (11)'!$AC$28</c:f>
              <c:strCache>
                <c:ptCount val="1"/>
                <c:pt idx="0">
                  <c:v>Dados de Referência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(11)'!$Z$15:$Z$24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(11)'!$AC$15:$AC$24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'Report Template (11)'!$AD$28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(11)'!$Z$15:$Z$24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(11)'!$AD$15:$AD$24</c:f>
              <c:numCache>
                <c:formatCode>General</c:formatCode>
                <c:ptCount val="10"/>
                <c:pt idx="4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22587776"/>
        <c:axId val="122601856"/>
      </c:barChart>
      <c:catAx>
        <c:axId val="122587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/>
            </a:pPr>
            <a:endParaRPr lang="pt-PT"/>
          </a:p>
        </c:txPr>
        <c:crossAx val="122601856"/>
        <c:crosses val="autoZero"/>
        <c:auto val="1"/>
        <c:lblAlgn val="ctr"/>
        <c:lblOffset val="100"/>
        <c:noMultiLvlLbl val="0"/>
      </c:catAx>
      <c:valAx>
        <c:axId val="12260185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2587776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2000"/>
          </a:pPr>
          <a:endParaRPr lang="pt-P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Relatórios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(10)'!$Z$2:$Z$7</c:f>
              <c:strCache>
                <c:ptCount val="6"/>
                <c:pt idx="0">
                  <c:v>Projeto Base</c:v>
                </c:pt>
                <c:pt idx="1">
                  <c:v>Dados de Referência / Correções Dimensional</c:v>
                </c:pt>
                <c:pt idx="2">
                  <c:v>NC's</c:v>
                </c:pt>
                <c:pt idx="3">
                  <c:v>Melhorias / Protocol Aceitação Modelos</c:v>
                </c:pt>
                <c:pt idx="4">
                  <c:v>Alteração de Engenharia</c:v>
                </c:pt>
                <c:pt idx="5">
                  <c:v>Total de Relatórios</c:v>
                </c:pt>
              </c:strCache>
            </c:strRef>
          </c:cat>
          <c:val>
            <c:numRef>
              <c:f>'Report Template (10)'!$AA$2:$AA$7</c:f>
              <c:numCache>
                <c:formatCode>General</c:formatCode>
                <c:ptCount val="6"/>
                <c:pt idx="1">
                  <c:v>2</c:v>
                </c:pt>
                <c:pt idx="5">
                  <c:v>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20"/>
        <c:overlap val="-25"/>
        <c:axId val="57170944"/>
        <c:axId val="121770752"/>
      </c:barChart>
      <c:catAx>
        <c:axId val="5717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21770752"/>
        <c:crosses val="autoZero"/>
        <c:auto val="1"/>
        <c:lblAlgn val="ctr"/>
        <c:lblOffset val="100"/>
        <c:noMultiLvlLbl val="0"/>
      </c:catAx>
      <c:valAx>
        <c:axId val="12177075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71709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Não</a:t>
            </a:r>
            <a:r>
              <a:rPr lang="pt-PT" sz="2800" baseline="0"/>
              <a:t> Conformidades</a:t>
            </a:r>
            <a:endParaRPr lang="pt-PT" sz="2800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(10)'!$Z$9:$Z$13</c:f>
              <c:strCache>
                <c:ptCount val="5"/>
                <c:pt idx="0">
                  <c:v>Método Plano</c:v>
                </c:pt>
                <c:pt idx="1">
                  <c:v>Die Design</c:v>
                </c:pt>
                <c:pt idx="2">
                  <c:v>Dados de Referência</c:v>
                </c:pt>
                <c:pt idx="3">
                  <c:v>Modelos Esferovite</c:v>
                </c:pt>
                <c:pt idx="4">
                  <c:v>Outras</c:v>
                </c:pt>
              </c:strCache>
            </c:strRef>
          </c:cat>
          <c:val>
            <c:numRef>
              <c:f>'Report Template (10)'!$AA$9:$AA$13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90"/>
        <c:overlap val="-30"/>
        <c:axId val="121787136"/>
        <c:axId val="121788672"/>
      </c:barChart>
      <c:catAx>
        <c:axId val="12178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21788672"/>
        <c:crosses val="autoZero"/>
        <c:auto val="1"/>
        <c:lblAlgn val="ctr"/>
        <c:lblOffset val="100"/>
        <c:noMultiLvlLbl val="0"/>
      </c:catAx>
      <c:valAx>
        <c:axId val="12178867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17871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Operações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Template (10)'!$AA$28</c:f>
              <c:strCache>
                <c:ptCount val="1"/>
                <c:pt idx="0">
                  <c:v>Método Plano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(10)'!$Z$15:$Z$24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(10)'!$AA$15:$AA$24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'Report Template (10)'!$AB$28</c:f>
              <c:strCache>
                <c:ptCount val="1"/>
                <c:pt idx="0">
                  <c:v>Die Design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(10)'!$Z$15:$Z$24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(10)'!$AB$15:$AB$24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'Report Template (10)'!$AC$28</c:f>
              <c:strCache>
                <c:ptCount val="1"/>
                <c:pt idx="0">
                  <c:v>Dados de Referência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(10)'!$Z$15:$Z$24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(10)'!$AC$15:$AC$24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'Report Template (10)'!$AD$28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(10)'!$Z$15:$Z$24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(10)'!$AD$15:$AD$24</c:f>
              <c:numCache>
                <c:formatCode>General</c:formatCode>
                <c:ptCount val="10"/>
                <c:pt idx="9">
                  <c:v>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21862016"/>
        <c:axId val="121863552"/>
      </c:barChart>
      <c:catAx>
        <c:axId val="121862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/>
            </a:pPr>
            <a:endParaRPr lang="pt-PT"/>
          </a:p>
        </c:txPr>
        <c:crossAx val="121863552"/>
        <c:crosses val="autoZero"/>
        <c:auto val="1"/>
        <c:lblAlgn val="ctr"/>
        <c:lblOffset val="100"/>
        <c:noMultiLvlLbl val="0"/>
      </c:catAx>
      <c:valAx>
        <c:axId val="12186355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1862016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sz="2000"/>
          </a:pPr>
          <a:endParaRPr lang="pt-P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Relatórios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(9)'!$Z$2:$Z$7</c:f>
              <c:strCache>
                <c:ptCount val="6"/>
                <c:pt idx="0">
                  <c:v>Projeto Base</c:v>
                </c:pt>
                <c:pt idx="1">
                  <c:v>Dados de Referência / Correções Dimensional</c:v>
                </c:pt>
                <c:pt idx="2">
                  <c:v>NC's</c:v>
                </c:pt>
                <c:pt idx="3">
                  <c:v>Melhorias / Protocol Aceitação Modelos</c:v>
                </c:pt>
                <c:pt idx="4">
                  <c:v>Alteração de Engenharia</c:v>
                </c:pt>
                <c:pt idx="5">
                  <c:v>Total de Relatórios</c:v>
                </c:pt>
              </c:strCache>
            </c:strRef>
          </c:cat>
          <c:val>
            <c:numRef>
              <c:f>'Report Template (9)'!$AA$2:$AA$7</c:f>
              <c:numCache>
                <c:formatCode>General</c:formatCode>
                <c:ptCount val="6"/>
                <c:pt idx="0">
                  <c:v>4</c:v>
                </c:pt>
                <c:pt idx="1">
                  <c:v>7</c:v>
                </c:pt>
                <c:pt idx="3">
                  <c:v>2</c:v>
                </c:pt>
                <c:pt idx="5">
                  <c:v>13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20"/>
        <c:overlap val="-25"/>
        <c:axId val="56623872"/>
        <c:axId val="56625408"/>
      </c:barChart>
      <c:catAx>
        <c:axId val="56623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56625408"/>
        <c:crosses val="autoZero"/>
        <c:auto val="1"/>
        <c:lblAlgn val="ctr"/>
        <c:lblOffset val="100"/>
        <c:noMultiLvlLbl val="0"/>
      </c:catAx>
      <c:valAx>
        <c:axId val="5662540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66238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Não</a:t>
            </a:r>
            <a:r>
              <a:rPr lang="pt-PT" sz="2800" baseline="0"/>
              <a:t> Conformidades</a:t>
            </a:r>
            <a:endParaRPr lang="pt-PT" sz="2800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(9)'!$Z$9:$Z$13</c:f>
              <c:strCache>
                <c:ptCount val="5"/>
                <c:pt idx="0">
                  <c:v>Método Plano</c:v>
                </c:pt>
                <c:pt idx="1">
                  <c:v>Die Design</c:v>
                </c:pt>
                <c:pt idx="2">
                  <c:v>Dados de Referência</c:v>
                </c:pt>
                <c:pt idx="3">
                  <c:v>Modelos Esferovite</c:v>
                </c:pt>
                <c:pt idx="4">
                  <c:v>Outras</c:v>
                </c:pt>
              </c:strCache>
            </c:strRef>
          </c:cat>
          <c:val>
            <c:numRef>
              <c:f>'Report Template (9)'!$AA$9:$AA$13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90"/>
        <c:overlap val="-30"/>
        <c:axId val="56682752"/>
        <c:axId val="56709120"/>
      </c:barChart>
      <c:catAx>
        <c:axId val="56682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56709120"/>
        <c:crosses val="autoZero"/>
        <c:auto val="1"/>
        <c:lblAlgn val="ctr"/>
        <c:lblOffset val="100"/>
        <c:noMultiLvlLbl val="0"/>
      </c:catAx>
      <c:valAx>
        <c:axId val="5670912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66827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Operações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Template (9)'!$AA$28</c:f>
              <c:strCache>
                <c:ptCount val="1"/>
                <c:pt idx="0">
                  <c:v>Método Plano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(9)'!$Z$15:$Z$24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(9)'!$AA$15:$AA$24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'Report Template (9)'!$AB$28</c:f>
              <c:strCache>
                <c:ptCount val="1"/>
                <c:pt idx="0">
                  <c:v>Die Design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(9)'!$Z$15:$Z$24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(9)'!$AB$15:$AB$24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'Report Template (9)'!$AC$28</c:f>
              <c:strCache>
                <c:ptCount val="1"/>
                <c:pt idx="0">
                  <c:v>Dados de Referência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(9)'!$Z$15:$Z$24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(9)'!$AC$15:$AC$24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'Report Template (9)'!$AD$28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(9)'!$Z$15:$Z$24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(9)'!$AD$15:$AD$24</c:f>
              <c:numCache>
                <c:formatCode>General</c:formatCode>
                <c:ptCount val="10"/>
                <c:pt idx="1">
                  <c:v>2</c:v>
                </c:pt>
                <c:pt idx="4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56900992"/>
        <c:axId val="57152640"/>
      </c:barChart>
      <c:catAx>
        <c:axId val="56900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/>
            </a:pPr>
            <a:endParaRPr lang="pt-PT"/>
          </a:p>
        </c:txPr>
        <c:crossAx val="57152640"/>
        <c:crosses val="autoZero"/>
        <c:auto val="1"/>
        <c:lblAlgn val="ctr"/>
        <c:lblOffset val="100"/>
        <c:noMultiLvlLbl val="0"/>
      </c:catAx>
      <c:valAx>
        <c:axId val="5715264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690099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sz="2000"/>
          </a:pPr>
          <a:endParaRPr lang="pt-P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Relatórios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(8)'!$Z$2:$Z$7</c:f>
              <c:strCache>
                <c:ptCount val="6"/>
                <c:pt idx="0">
                  <c:v>Projeto Base</c:v>
                </c:pt>
                <c:pt idx="1">
                  <c:v>Dados de Referência / Correções Dimensional</c:v>
                </c:pt>
                <c:pt idx="2">
                  <c:v>NC's</c:v>
                </c:pt>
                <c:pt idx="3">
                  <c:v>Melhorias / Protocol Aceitação Modelos</c:v>
                </c:pt>
                <c:pt idx="4">
                  <c:v>Alteração de Engenharia</c:v>
                </c:pt>
                <c:pt idx="5">
                  <c:v>Total de Relatórios</c:v>
                </c:pt>
              </c:strCache>
            </c:strRef>
          </c:cat>
          <c:val>
            <c:numRef>
              <c:f>'Report Template (8)'!$AA$2:$AA$7</c:f>
              <c:numCache>
                <c:formatCode>General</c:formatCode>
                <c:ptCount val="6"/>
                <c:pt idx="0">
                  <c:v>4</c:v>
                </c:pt>
                <c:pt idx="1">
                  <c:v>7</c:v>
                </c:pt>
                <c:pt idx="2">
                  <c:v>5</c:v>
                </c:pt>
                <c:pt idx="3">
                  <c:v>3</c:v>
                </c:pt>
                <c:pt idx="4">
                  <c:v>2</c:v>
                </c:pt>
                <c:pt idx="5">
                  <c:v>21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20"/>
        <c:overlap val="-25"/>
        <c:axId val="56453376"/>
        <c:axId val="56471552"/>
      </c:barChart>
      <c:catAx>
        <c:axId val="56453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56471552"/>
        <c:crosses val="autoZero"/>
        <c:auto val="1"/>
        <c:lblAlgn val="ctr"/>
        <c:lblOffset val="100"/>
        <c:noMultiLvlLbl val="0"/>
      </c:catAx>
      <c:valAx>
        <c:axId val="5647155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64533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Não</a:t>
            </a:r>
            <a:r>
              <a:rPr lang="pt-PT" sz="2800" baseline="0"/>
              <a:t> Conformidades</a:t>
            </a:r>
            <a:endParaRPr lang="pt-PT" sz="2800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(8)'!$Z$9:$Z$13</c:f>
              <c:strCache>
                <c:ptCount val="5"/>
                <c:pt idx="0">
                  <c:v>Método Plano</c:v>
                </c:pt>
                <c:pt idx="1">
                  <c:v>Die Design</c:v>
                </c:pt>
                <c:pt idx="2">
                  <c:v>Dados de Referência</c:v>
                </c:pt>
                <c:pt idx="3">
                  <c:v>Modelos Esferovite</c:v>
                </c:pt>
                <c:pt idx="4">
                  <c:v>Outras</c:v>
                </c:pt>
              </c:strCache>
            </c:strRef>
          </c:cat>
          <c:val>
            <c:numRef>
              <c:f>'Report Template (8)'!$AA$9:$AA$13</c:f>
              <c:numCache>
                <c:formatCode>General</c:formatCode>
                <c:ptCount val="5"/>
                <c:pt idx="0">
                  <c:v>3</c:v>
                </c:pt>
                <c:pt idx="1">
                  <c:v>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90"/>
        <c:overlap val="-30"/>
        <c:axId val="56492032"/>
        <c:axId val="56493568"/>
      </c:barChart>
      <c:catAx>
        <c:axId val="56492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56493568"/>
        <c:crosses val="autoZero"/>
        <c:auto val="1"/>
        <c:lblAlgn val="ctr"/>
        <c:lblOffset val="100"/>
        <c:noMultiLvlLbl val="0"/>
      </c:catAx>
      <c:valAx>
        <c:axId val="5649356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64920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Operações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Template (8)'!$AA$28</c:f>
              <c:strCache>
                <c:ptCount val="1"/>
                <c:pt idx="0">
                  <c:v>Método Plano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(8)'!$Z$15:$Z$24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(8)'!$AA$15:$AA$24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'Report Template (8)'!$AB$28</c:f>
              <c:strCache>
                <c:ptCount val="1"/>
                <c:pt idx="0">
                  <c:v>Die Design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(8)'!$Z$15:$Z$24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(8)'!$AB$15:$AB$24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'Report Template (8)'!$AC$28</c:f>
              <c:strCache>
                <c:ptCount val="1"/>
                <c:pt idx="0">
                  <c:v>Dados de Referência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(8)'!$Z$15:$Z$24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(8)'!$AC$15:$AC$24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'Report Template (8)'!$AD$28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(8)'!$Z$15:$Z$24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(8)'!$AD$15:$AD$24</c:f>
              <c:numCache>
                <c:formatCode>General</c:formatCode>
                <c:ptCount val="10"/>
                <c:pt idx="1">
                  <c:v>1</c:v>
                </c:pt>
                <c:pt idx="2">
                  <c:v>1</c:v>
                </c:pt>
                <c:pt idx="5">
                  <c:v>3</c:v>
                </c:pt>
                <c:pt idx="6">
                  <c:v>6</c:v>
                </c:pt>
                <c:pt idx="7">
                  <c:v>5</c:v>
                </c:pt>
                <c:pt idx="8">
                  <c:v>4</c:v>
                </c:pt>
                <c:pt idx="9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56517760"/>
        <c:axId val="56519296"/>
      </c:barChart>
      <c:catAx>
        <c:axId val="56517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/>
            </a:pPr>
            <a:endParaRPr lang="pt-PT"/>
          </a:p>
        </c:txPr>
        <c:crossAx val="56519296"/>
        <c:crosses val="autoZero"/>
        <c:auto val="1"/>
        <c:lblAlgn val="ctr"/>
        <c:lblOffset val="100"/>
        <c:noMultiLvlLbl val="0"/>
      </c:catAx>
      <c:valAx>
        <c:axId val="565192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651776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sz="2000"/>
          </a:pPr>
          <a:endParaRPr lang="pt-P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Relatórios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(7)'!$Z$2:$Z$7</c:f>
              <c:strCache>
                <c:ptCount val="6"/>
                <c:pt idx="0">
                  <c:v>Projeto Base</c:v>
                </c:pt>
                <c:pt idx="1">
                  <c:v>Dados de Referência / Correções Dimensional</c:v>
                </c:pt>
                <c:pt idx="2">
                  <c:v>NC's</c:v>
                </c:pt>
                <c:pt idx="3">
                  <c:v>Melhorias / Protocol Aceitação Modelos</c:v>
                </c:pt>
                <c:pt idx="4">
                  <c:v>Alteração de Engenharia</c:v>
                </c:pt>
                <c:pt idx="5">
                  <c:v>Total de Relatórios</c:v>
                </c:pt>
              </c:strCache>
            </c:strRef>
          </c:cat>
          <c:val>
            <c:numRef>
              <c:f>'Report Template (7)'!$AA$2:$AA$7</c:f>
              <c:numCache>
                <c:formatCode>General</c:formatCode>
                <c:ptCount val="6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5">
                  <c:v>7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20"/>
        <c:overlap val="-25"/>
        <c:axId val="56359936"/>
        <c:axId val="56374016"/>
      </c:barChart>
      <c:catAx>
        <c:axId val="56359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56374016"/>
        <c:crosses val="autoZero"/>
        <c:auto val="1"/>
        <c:lblAlgn val="ctr"/>
        <c:lblOffset val="100"/>
        <c:noMultiLvlLbl val="0"/>
      </c:catAx>
      <c:valAx>
        <c:axId val="5637401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6359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Não</a:t>
            </a:r>
            <a:r>
              <a:rPr lang="pt-PT" sz="2800" baseline="0"/>
              <a:t> Conformidades</a:t>
            </a:r>
            <a:endParaRPr lang="pt-PT" sz="2800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(7)'!$Z$9:$Z$13</c:f>
              <c:strCache>
                <c:ptCount val="5"/>
                <c:pt idx="0">
                  <c:v>Método Plano</c:v>
                </c:pt>
                <c:pt idx="1">
                  <c:v>Die Design</c:v>
                </c:pt>
                <c:pt idx="2">
                  <c:v>Dados de Referência</c:v>
                </c:pt>
                <c:pt idx="3">
                  <c:v>Modelos Esferovite</c:v>
                </c:pt>
                <c:pt idx="4">
                  <c:v>Outras</c:v>
                </c:pt>
              </c:strCache>
            </c:strRef>
          </c:cat>
          <c:val>
            <c:numRef>
              <c:f>'Report Template (7)'!$AA$9:$AA$13</c:f>
              <c:numCache>
                <c:formatCode>General</c:formatCode>
                <c:ptCount val="5"/>
                <c:pt idx="1">
                  <c:v>1</c:v>
                </c:pt>
                <c:pt idx="4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90"/>
        <c:overlap val="-30"/>
        <c:axId val="56382976"/>
        <c:axId val="56384512"/>
      </c:barChart>
      <c:catAx>
        <c:axId val="563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56384512"/>
        <c:crosses val="autoZero"/>
        <c:auto val="1"/>
        <c:lblAlgn val="ctr"/>
        <c:lblOffset val="100"/>
        <c:noMultiLvlLbl val="0"/>
      </c:catAx>
      <c:valAx>
        <c:axId val="5638451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63829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Operações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Template (7)'!$AA$28</c:f>
              <c:strCache>
                <c:ptCount val="1"/>
                <c:pt idx="0">
                  <c:v>Método Plano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(7)'!$Z$15:$Z$24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(7)'!$AA$15:$AA$24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'Report Template (7)'!$AB$28</c:f>
              <c:strCache>
                <c:ptCount val="1"/>
                <c:pt idx="0">
                  <c:v>Die Design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(7)'!$Z$15:$Z$24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(7)'!$AB$15:$AB$24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'Report Template (7)'!$AC$28</c:f>
              <c:strCache>
                <c:ptCount val="1"/>
                <c:pt idx="0">
                  <c:v>Dados de Referência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(7)'!$Z$15:$Z$24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(7)'!$AC$15:$AC$24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'Report Template (7)'!$AD$28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(7)'!$Z$15:$Z$24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(7)'!$AD$15:$AD$24</c:f>
              <c:numCache>
                <c:formatCode>General</c:formatCode>
                <c:ptCount val="10"/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56401280"/>
        <c:axId val="56411264"/>
      </c:barChart>
      <c:catAx>
        <c:axId val="56401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/>
            </a:pPr>
            <a:endParaRPr lang="pt-PT"/>
          </a:p>
        </c:txPr>
        <c:crossAx val="56411264"/>
        <c:crosses val="autoZero"/>
        <c:auto val="1"/>
        <c:lblAlgn val="ctr"/>
        <c:lblOffset val="100"/>
        <c:noMultiLvlLbl val="0"/>
      </c:catAx>
      <c:valAx>
        <c:axId val="5641126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640128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sz="2000"/>
          </a:pPr>
          <a:endParaRPr lang="pt-P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Relatórios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(6)'!$Z$2:$Z$7</c:f>
              <c:strCache>
                <c:ptCount val="6"/>
                <c:pt idx="0">
                  <c:v>Projeto Base</c:v>
                </c:pt>
                <c:pt idx="1">
                  <c:v>Dados de Referência / Correções Dimensional</c:v>
                </c:pt>
                <c:pt idx="2">
                  <c:v>NC's</c:v>
                </c:pt>
                <c:pt idx="3">
                  <c:v>Melhorias / Protocol Aceitação Modelos</c:v>
                </c:pt>
                <c:pt idx="4">
                  <c:v>Alteração de Engenharia</c:v>
                </c:pt>
                <c:pt idx="5">
                  <c:v>Total de Relatórios</c:v>
                </c:pt>
              </c:strCache>
            </c:strRef>
          </c:cat>
          <c:val>
            <c:numRef>
              <c:f>'Report Template (6)'!$AA$2:$AA$7</c:f>
              <c:numCache>
                <c:formatCode>General</c:formatCode>
                <c:ptCount val="6"/>
                <c:pt idx="1">
                  <c:v>1</c:v>
                </c:pt>
                <c:pt idx="5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20"/>
        <c:overlap val="-25"/>
        <c:axId val="51610368"/>
        <c:axId val="51611904"/>
      </c:barChart>
      <c:catAx>
        <c:axId val="5161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51611904"/>
        <c:crosses val="autoZero"/>
        <c:auto val="1"/>
        <c:lblAlgn val="ctr"/>
        <c:lblOffset val="100"/>
        <c:noMultiLvlLbl val="0"/>
      </c:catAx>
      <c:valAx>
        <c:axId val="5161190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16103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Não</a:t>
            </a:r>
            <a:r>
              <a:rPr lang="pt-PT" sz="2800" baseline="0"/>
              <a:t> Conformidades</a:t>
            </a:r>
            <a:endParaRPr lang="pt-PT" sz="2800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(6)'!$Z$9:$Z$13</c:f>
              <c:strCache>
                <c:ptCount val="5"/>
                <c:pt idx="0">
                  <c:v>Método Plano</c:v>
                </c:pt>
                <c:pt idx="1">
                  <c:v>Die Design</c:v>
                </c:pt>
                <c:pt idx="2">
                  <c:v>Dados de Referência</c:v>
                </c:pt>
                <c:pt idx="3">
                  <c:v>Modelos Esferovite</c:v>
                </c:pt>
                <c:pt idx="4">
                  <c:v>Outras</c:v>
                </c:pt>
              </c:strCache>
            </c:strRef>
          </c:cat>
          <c:val>
            <c:numRef>
              <c:f>'Report Template (6)'!$AA$9:$AA$13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90"/>
        <c:overlap val="-30"/>
        <c:axId val="51624192"/>
        <c:axId val="51630080"/>
      </c:barChart>
      <c:catAx>
        <c:axId val="51624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51630080"/>
        <c:crosses val="autoZero"/>
        <c:auto val="1"/>
        <c:lblAlgn val="ctr"/>
        <c:lblOffset val="100"/>
        <c:noMultiLvlLbl val="0"/>
      </c:catAx>
      <c:valAx>
        <c:axId val="5163008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1624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Operações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Template (6)'!$AA$28</c:f>
              <c:strCache>
                <c:ptCount val="1"/>
                <c:pt idx="0">
                  <c:v>Método Plano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(6)'!$Z$15:$Z$24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(6)'!$AA$15:$AA$24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'Report Template (6)'!$AB$28</c:f>
              <c:strCache>
                <c:ptCount val="1"/>
                <c:pt idx="0">
                  <c:v>Die Design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(6)'!$Z$15:$Z$24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(6)'!$AB$15:$AB$24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'Report Template (6)'!$AC$28</c:f>
              <c:strCache>
                <c:ptCount val="1"/>
                <c:pt idx="0">
                  <c:v>Dados de Referência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(6)'!$Z$15:$Z$24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(6)'!$AC$15:$AC$24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'Report Template (6)'!$AD$28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(6)'!$Z$15:$Z$24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(6)'!$AD$15:$AD$24</c:f>
              <c:numCache>
                <c:formatCode>General</c:formatCode>
                <c:ptCount val="10"/>
                <c:pt idx="9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56302976"/>
        <c:axId val="56329344"/>
      </c:barChart>
      <c:catAx>
        <c:axId val="5630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/>
            </a:pPr>
            <a:endParaRPr lang="pt-PT"/>
          </a:p>
        </c:txPr>
        <c:crossAx val="56329344"/>
        <c:crosses val="autoZero"/>
        <c:auto val="1"/>
        <c:lblAlgn val="ctr"/>
        <c:lblOffset val="100"/>
        <c:noMultiLvlLbl val="0"/>
      </c:catAx>
      <c:valAx>
        <c:axId val="5632934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6302976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sz="2000"/>
          </a:pPr>
          <a:endParaRPr lang="pt-P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Relatórios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(5)'!$Z$2:$Z$7</c:f>
              <c:strCache>
                <c:ptCount val="6"/>
                <c:pt idx="0">
                  <c:v>Projeto Base</c:v>
                </c:pt>
                <c:pt idx="1">
                  <c:v>Dados de Referência / Correções Dimensional</c:v>
                </c:pt>
                <c:pt idx="2">
                  <c:v>NC's</c:v>
                </c:pt>
                <c:pt idx="3">
                  <c:v>Melhorias / Protocol Aceitação Modelos</c:v>
                </c:pt>
                <c:pt idx="4">
                  <c:v>Alteração de Engenharia</c:v>
                </c:pt>
                <c:pt idx="5">
                  <c:v>Total de Relatórios</c:v>
                </c:pt>
              </c:strCache>
            </c:strRef>
          </c:cat>
          <c:val>
            <c:numRef>
              <c:f>'Report Template (5)'!$AA$2:$AA$7</c:f>
              <c:numCache>
                <c:formatCode>General</c:formatCode>
                <c:ptCount val="6"/>
                <c:pt idx="0">
                  <c:v>2</c:v>
                </c:pt>
                <c:pt idx="5">
                  <c:v>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20"/>
        <c:overlap val="-25"/>
        <c:axId val="43628800"/>
        <c:axId val="43634688"/>
      </c:barChart>
      <c:catAx>
        <c:axId val="43628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43634688"/>
        <c:crosses val="autoZero"/>
        <c:auto val="1"/>
        <c:lblAlgn val="ctr"/>
        <c:lblOffset val="100"/>
        <c:noMultiLvlLbl val="0"/>
      </c:catAx>
      <c:valAx>
        <c:axId val="4363468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36288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Não</a:t>
            </a:r>
            <a:r>
              <a:rPr lang="pt-PT" sz="2800" baseline="0"/>
              <a:t> Conformidades</a:t>
            </a:r>
            <a:endParaRPr lang="pt-PT" sz="2800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(5)'!$Z$9:$Z$13</c:f>
              <c:strCache>
                <c:ptCount val="5"/>
                <c:pt idx="0">
                  <c:v>Método Plano</c:v>
                </c:pt>
                <c:pt idx="1">
                  <c:v>Die Design</c:v>
                </c:pt>
                <c:pt idx="2">
                  <c:v>Dados de Referência</c:v>
                </c:pt>
                <c:pt idx="3">
                  <c:v>Modelos Esferovite</c:v>
                </c:pt>
                <c:pt idx="4">
                  <c:v>Outras</c:v>
                </c:pt>
              </c:strCache>
            </c:strRef>
          </c:cat>
          <c:val>
            <c:numRef>
              <c:f>'Report Template (5)'!$AA$9:$AA$13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90"/>
        <c:overlap val="-30"/>
        <c:axId val="43663360"/>
        <c:axId val="43664896"/>
      </c:barChart>
      <c:catAx>
        <c:axId val="4366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43664896"/>
        <c:crosses val="autoZero"/>
        <c:auto val="1"/>
        <c:lblAlgn val="ctr"/>
        <c:lblOffset val="100"/>
        <c:noMultiLvlLbl val="0"/>
      </c:catAx>
      <c:valAx>
        <c:axId val="436648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3663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Operações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Template (5)'!$AA$28</c:f>
              <c:strCache>
                <c:ptCount val="1"/>
                <c:pt idx="0">
                  <c:v>Método Plano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(5)'!$Z$15:$Z$24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(5)'!$AA$15:$AA$24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'Report Template (5)'!$AB$28</c:f>
              <c:strCache>
                <c:ptCount val="1"/>
                <c:pt idx="0">
                  <c:v>Die Design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(5)'!$Z$15:$Z$24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(5)'!$AB$15:$AB$24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'Report Template (5)'!$AC$28</c:f>
              <c:strCache>
                <c:ptCount val="1"/>
                <c:pt idx="0">
                  <c:v>Dados de Referência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(5)'!$Z$15:$Z$24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(5)'!$AC$15:$AC$24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'Report Template (5)'!$AD$28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(5)'!$Z$15:$Z$24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(5)'!$AD$15:$AD$24</c:f>
              <c:numCache>
                <c:formatCode>General</c:formatCode>
                <c:ptCount val="10"/>
                <c:pt idx="7">
                  <c:v>1</c:v>
                </c:pt>
                <c:pt idx="9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51405952"/>
        <c:axId val="51407488"/>
      </c:barChart>
      <c:catAx>
        <c:axId val="5140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/>
            </a:pPr>
            <a:endParaRPr lang="pt-PT"/>
          </a:p>
        </c:txPr>
        <c:crossAx val="51407488"/>
        <c:crosses val="autoZero"/>
        <c:auto val="1"/>
        <c:lblAlgn val="ctr"/>
        <c:lblOffset val="100"/>
        <c:noMultiLvlLbl val="0"/>
      </c:catAx>
      <c:valAx>
        <c:axId val="5140748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140595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sz="2000"/>
          </a:pPr>
          <a:endParaRPr lang="pt-P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Relatórios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(4)'!$Z$2:$Z$7</c:f>
              <c:strCache>
                <c:ptCount val="6"/>
                <c:pt idx="0">
                  <c:v>Projeto Base</c:v>
                </c:pt>
                <c:pt idx="1">
                  <c:v>Dados de Referência / Correções Dimensional</c:v>
                </c:pt>
                <c:pt idx="2">
                  <c:v>NC's</c:v>
                </c:pt>
                <c:pt idx="3">
                  <c:v>Melhorias / Protocol Aceitação Modelos</c:v>
                </c:pt>
                <c:pt idx="4">
                  <c:v>Alteração de Engenharia</c:v>
                </c:pt>
                <c:pt idx="5">
                  <c:v>Total de Relatórios</c:v>
                </c:pt>
              </c:strCache>
            </c:strRef>
          </c:cat>
          <c:val>
            <c:numRef>
              <c:f>'Report Template (4)'!$AA$2:$AA$7</c:f>
              <c:numCache>
                <c:formatCode>General</c:formatCode>
                <c:ptCount val="6"/>
                <c:pt idx="1">
                  <c:v>1</c:v>
                </c:pt>
                <c:pt idx="5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20"/>
        <c:overlap val="-25"/>
        <c:axId val="151098880"/>
        <c:axId val="151109632"/>
      </c:barChart>
      <c:catAx>
        <c:axId val="151098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51109632"/>
        <c:crosses val="autoZero"/>
        <c:auto val="1"/>
        <c:lblAlgn val="ctr"/>
        <c:lblOffset val="100"/>
        <c:noMultiLvlLbl val="0"/>
      </c:catAx>
      <c:valAx>
        <c:axId val="15110963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510988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Não</a:t>
            </a:r>
            <a:r>
              <a:rPr lang="pt-PT" sz="2800" baseline="0"/>
              <a:t> Conformidades</a:t>
            </a:r>
            <a:endParaRPr lang="pt-PT" sz="2800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(4)'!$Z$9:$Z$13</c:f>
              <c:strCache>
                <c:ptCount val="5"/>
                <c:pt idx="0">
                  <c:v>Método Plano</c:v>
                </c:pt>
                <c:pt idx="1">
                  <c:v>Die Design</c:v>
                </c:pt>
                <c:pt idx="2">
                  <c:v>Dados de Referência</c:v>
                </c:pt>
                <c:pt idx="3">
                  <c:v>Modelos Esferovite</c:v>
                </c:pt>
                <c:pt idx="4">
                  <c:v>Outras</c:v>
                </c:pt>
              </c:strCache>
            </c:strRef>
          </c:cat>
          <c:val>
            <c:numRef>
              <c:f>'Report Template (4)'!$AA$9:$AA$13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90"/>
        <c:overlap val="-30"/>
        <c:axId val="43571072"/>
        <c:axId val="43572608"/>
      </c:barChart>
      <c:catAx>
        <c:axId val="43571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43572608"/>
        <c:crosses val="autoZero"/>
        <c:auto val="1"/>
        <c:lblAlgn val="ctr"/>
        <c:lblOffset val="100"/>
        <c:noMultiLvlLbl val="0"/>
      </c:catAx>
      <c:valAx>
        <c:axId val="4357260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3571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Operações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Template (4)'!$AA$28</c:f>
              <c:strCache>
                <c:ptCount val="1"/>
                <c:pt idx="0">
                  <c:v>Método Plano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(4)'!$Z$15:$Z$24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(4)'!$AA$15:$AA$24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'Report Template (4)'!$AB$28</c:f>
              <c:strCache>
                <c:ptCount val="1"/>
                <c:pt idx="0">
                  <c:v>Die Design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(4)'!$Z$15:$Z$24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(4)'!$AB$15:$AB$24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'Report Template (4)'!$AC$28</c:f>
              <c:strCache>
                <c:ptCount val="1"/>
                <c:pt idx="0">
                  <c:v>Dados de Referência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(4)'!$Z$15:$Z$24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(4)'!$AC$15:$AC$24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'Report Template (4)'!$AD$28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(4)'!$Z$15:$Z$24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(4)'!$AD$15:$AD$24</c:f>
              <c:numCache>
                <c:formatCode>General</c:formatCode>
                <c:ptCount val="10"/>
                <c:pt idx="8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3596800"/>
        <c:axId val="43606784"/>
      </c:barChart>
      <c:catAx>
        <c:axId val="43596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/>
            </a:pPr>
            <a:endParaRPr lang="pt-PT"/>
          </a:p>
        </c:txPr>
        <c:crossAx val="43606784"/>
        <c:crosses val="autoZero"/>
        <c:auto val="1"/>
        <c:lblAlgn val="ctr"/>
        <c:lblOffset val="100"/>
        <c:noMultiLvlLbl val="0"/>
      </c:catAx>
      <c:valAx>
        <c:axId val="436067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359680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2000"/>
          </a:pPr>
          <a:endParaRPr lang="pt-P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Relatórios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(3)'!$Z$2:$Z$7</c:f>
              <c:strCache>
                <c:ptCount val="6"/>
                <c:pt idx="0">
                  <c:v>Projeto Base</c:v>
                </c:pt>
                <c:pt idx="1">
                  <c:v>Dados de Referência / Correções Dimensional</c:v>
                </c:pt>
                <c:pt idx="2">
                  <c:v>NC's</c:v>
                </c:pt>
                <c:pt idx="3">
                  <c:v>Melhorias / Protocol Aceitação Modelos</c:v>
                </c:pt>
                <c:pt idx="4">
                  <c:v>Alteração de Engenharia</c:v>
                </c:pt>
                <c:pt idx="5">
                  <c:v>Total de Relatórios</c:v>
                </c:pt>
              </c:strCache>
            </c:strRef>
          </c:cat>
          <c:val>
            <c:numRef>
              <c:f>'Report Template (3)'!$AA$2:$AA$7</c:f>
              <c:numCache>
                <c:formatCode>General</c:formatCode>
                <c:ptCount val="6"/>
                <c:pt idx="1">
                  <c:v>1</c:v>
                </c:pt>
                <c:pt idx="3">
                  <c:v>1</c:v>
                </c:pt>
                <c:pt idx="5">
                  <c:v>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20"/>
        <c:overlap val="-25"/>
        <c:axId val="147038592"/>
        <c:axId val="147040512"/>
      </c:barChart>
      <c:catAx>
        <c:axId val="14703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47040512"/>
        <c:crosses val="autoZero"/>
        <c:auto val="1"/>
        <c:lblAlgn val="ctr"/>
        <c:lblOffset val="100"/>
        <c:noMultiLvlLbl val="0"/>
      </c:catAx>
      <c:valAx>
        <c:axId val="14704051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470385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Não</a:t>
            </a:r>
            <a:r>
              <a:rPr lang="pt-PT" sz="2800" baseline="0"/>
              <a:t> Conformidades</a:t>
            </a:r>
            <a:endParaRPr lang="pt-PT" sz="2800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(3)'!$Z$9:$Z$13</c:f>
              <c:strCache>
                <c:ptCount val="5"/>
                <c:pt idx="0">
                  <c:v>Método Plano</c:v>
                </c:pt>
                <c:pt idx="1">
                  <c:v>Die Design</c:v>
                </c:pt>
                <c:pt idx="2">
                  <c:v>Dados de Referência</c:v>
                </c:pt>
                <c:pt idx="3">
                  <c:v>Modelos Esferovite</c:v>
                </c:pt>
                <c:pt idx="4">
                  <c:v>Outras</c:v>
                </c:pt>
              </c:strCache>
            </c:strRef>
          </c:cat>
          <c:val>
            <c:numRef>
              <c:f>'Report Template (3)'!$AA$9:$AA$13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90"/>
        <c:overlap val="-30"/>
        <c:axId val="147323904"/>
        <c:axId val="147563264"/>
      </c:barChart>
      <c:catAx>
        <c:axId val="14732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47563264"/>
        <c:crosses val="autoZero"/>
        <c:auto val="1"/>
        <c:lblAlgn val="ctr"/>
        <c:lblOffset val="100"/>
        <c:noMultiLvlLbl val="0"/>
      </c:catAx>
      <c:valAx>
        <c:axId val="14756326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47323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Operações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Template (3)'!$AA$28</c:f>
              <c:strCache>
                <c:ptCount val="1"/>
                <c:pt idx="0">
                  <c:v>Método Plano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(3)'!$Z$15:$Z$24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(3)'!$AA$15:$AA$24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'Report Template (3)'!$AB$28</c:f>
              <c:strCache>
                <c:ptCount val="1"/>
                <c:pt idx="0">
                  <c:v>Die Design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(3)'!$Z$15:$Z$24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(3)'!$AB$15:$AB$24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'Report Template (3)'!$AC$28</c:f>
              <c:strCache>
                <c:ptCount val="1"/>
                <c:pt idx="0">
                  <c:v>Dados de Referência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(3)'!$Z$15:$Z$24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(3)'!$AC$15:$AC$24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'Report Template (3)'!$AD$28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(3)'!$Z$15:$Z$24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(3)'!$AD$15:$AD$24</c:f>
              <c:numCache>
                <c:formatCode>General</c:formatCode>
                <c:ptCount val="10"/>
                <c:pt idx="6">
                  <c:v>1</c:v>
                </c:pt>
                <c:pt idx="7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48458880"/>
        <c:axId val="148772352"/>
      </c:barChart>
      <c:catAx>
        <c:axId val="148458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/>
            </a:pPr>
            <a:endParaRPr lang="pt-PT"/>
          </a:p>
        </c:txPr>
        <c:crossAx val="148772352"/>
        <c:crosses val="autoZero"/>
        <c:auto val="1"/>
        <c:lblAlgn val="ctr"/>
        <c:lblOffset val="100"/>
        <c:noMultiLvlLbl val="0"/>
      </c:catAx>
      <c:valAx>
        <c:axId val="14877235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4845888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2000"/>
          </a:pPr>
          <a:endParaRPr lang="pt-P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Relatórios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(2)'!$Z$2:$Z$7</c:f>
              <c:strCache>
                <c:ptCount val="6"/>
                <c:pt idx="0">
                  <c:v>Projeto Base</c:v>
                </c:pt>
                <c:pt idx="1">
                  <c:v>Dados de Referência / Correções Dimensional</c:v>
                </c:pt>
                <c:pt idx="2">
                  <c:v>NC's</c:v>
                </c:pt>
                <c:pt idx="3">
                  <c:v>Melhorias / Protocol Aceitação Modelos</c:v>
                </c:pt>
                <c:pt idx="4">
                  <c:v>Alteração de Engenharia</c:v>
                </c:pt>
                <c:pt idx="5">
                  <c:v>Total de Relatórios</c:v>
                </c:pt>
              </c:strCache>
            </c:strRef>
          </c:cat>
          <c:val>
            <c:numRef>
              <c:f>'Report Template (2)'!$AA$2:$AA$7</c:f>
              <c:numCache>
                <c:formatCode>General</c:formatCode>
                <c:ptCount val="6"/>
                <c:pt idx="0">
                  <c:v>1</c:v>
                </c:pt>
                <c:pt idx="2">
                  <c:v>1</c:v>
                </c:pt>
                <c:pt idx="3">
                  <c:v>1</c:v>
                </c:pt>
                <c:pt idx="5">
                  <c:v>3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20"/>
        <c:overlap val="-25"/>
        <c:axId val="135101056"/>
        <c:axId val="136245632"/>
      </c:barChart>
      <c:catAx>
        <c:axId val="135101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36245632"/>
        <c:crosses val="autoZero"/>
        <c:auto val="1"/>
        <c:lblAlgn val="ctr"/>
        <c:lblOffset val="100"/>
        <c:noMultiLvlLbl val="0"/>
      </c:catAx>
      <c:valAx>
        <c:axId val="13624563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5101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Não</a:t>
            </a:r>
            <a:r>
              <a:rPr lang="pt-PT" sz="2800" baseline="0"/>
              <a:t> Conformidades</a:t>
            </a:r>
            <a:endParaRPr lang="pt-PT" sz="2800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(2)'!$Z$9:$Z$13</c:f>
              <c:strCache>
                <c:ptCount val="5"/>
                <c:pt idx="0">
                  <c:v>Método Plano</c:v>
                </c:pt>
                <c:pt idx="1">
                  <c:v>Die Design</c:v>
                </c:pt>
                <c:pt idx="2">
                  <c:v>Dados de Referência</c:v>
                </c:pt>
                <c:pt idx="3">
                  <c:v>Modelos Esferovite</c:v>
                </c:pt>
                <c:pt idx="4">
                  <c:v>Outras</c:v>
                </c:pt>
              </c:strCache>
            </c:strRef>
          </c:cat>
          <c:val>
            <c:numRef>
              <c:f>'Report Template (2)'!$AA$9:$AA$13</c:f>
              <c:numCache>
                <c:formatCode>General</c:formatCode>
                <c:ptCount val="5"/>
                <c:pt idx="0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90"/>
        <c:overlap val="-30"/>
        <c:axId val="138019968"/>
        <c:axId val="138021888"/>
      </c:barChart>
      <c:catAx>
        <c:axId val="13801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38021888"/>
        <c:crosses val="autoZero"/>
        <c:auto val="1"/>
        <c:lblAlgn val="ctr"/>
        <c:lblOffset val="100"/>
        <c:noMultiLvlLbl val="0"/>
      </c:catAx>
      <c:valAx>
        <c:axId val="13802188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80199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Operações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Template (2)'!$AA$28</c:f>
              <c:strCache>
                <c:ptCount val="1"/>
                <c:pt idx="0">
                  <c:v>Método Plano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(2)'!$Z$15:$Z$24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(2)'!$AA$15:$AA$24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'Report Template (2)'!$AB$28</c:f>
              <c:strCache>
                <c:ptCount val="1"/>
                <c:pt idx="0">
                  <c:v>Die Design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(2)'!$Z$15:$Z$24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(2)'!$AB$15:$AB$24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'Report Template (2)'!$AC$28</c:f>
              <c:strCache>
                <c:ptCount val="1"/>
                <c:pt idx="0">
                  <c:v>Dados de Referência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(2)'!$Z$15:$Z$24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(2)'!$AC$15:$AC$24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'Report Template (2)'!$AD$28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 (2)'!$Z$15:$Z$24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 (2)'!$AD$15:$AD$24</c:f>
              <c:numCache>
                <c:formatCode>General</c:formatCode>
                <c:ptCount val="10"/>
                <c:pt idx="1">
                  <c:v>2</c:v>
                </c:pt>
                <c:pt idx="4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46149376"/>
        <c:axId val="146150912"/>
      </c:barChart>
      <c:catAx>
        <c:axId val="14614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/>
            </a:pPr>
            <a:endParaRPr lang="pt-PT"/>
          </a:p>
        </c:txPr>
        <c:crossAx val="146150912"/>
        <c:crosses val="autoZero"/>
        <c:auto val="1"/>
        <c:lblAlgn val="ctr"/>
        <c:lblOffset val="100"/>
        <c:noMultiLvlLbl val="0"/>
      </c:catAx>
      <c:valAx>
        <c:axId val="14615091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46149376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2000"/>
          </a:pPr>
          <a:endParaRPr lang="pt-P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Relatórios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Template'!$Z$2:$Z$7</c:f>
              <c:strCache>
                <c:ptCount val="6"/>
                <c:pt idx="0">
                  <c:v>Projeto Base</c:v>
                </c:pt>
                <c:pt idx="1">
                  <c:v>Dados de Referência / Correções Dimensional</c:v>
                </c:pt>
                <c:pt idx="2">
                  <c:v>NC's</c:v>
                </c:pt>
                <c:pt idx="3">
                  <c:v>Melhorias / Protocol Aceitação Modelos</c:v>
                </c:pt>
                <c:pt idx="4">
                  <c:v>Alteração de Engenharia</c:v>
                </c:pt>
                <c:pt idx="5">
                  <c:v>Total de Relatórios</c:v>
                </c:pt>
              </c:strCache>
            </c:strRef>
          </c:cat>
          <c:val>
            <c:numRef>
              <c:f>'Report Template'!$AA$2:$AA$7</c:f>
              <c:numCache>
                <c:formatCode>General</c:formatCode>
                <c:ptCount val="6"/>
                <c:pt idx="5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20"/>
        <c:overlap val="-25"/>
        <c:axId val="148653184"/>
        <c:axId val="148664320"/>
      </c:barChart>
      <c:catAx>
        <c:axId val="14865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48664320"/>
        <c:crosses val="autoZero"/>
        <c:auto val="1"/>
        <c:lblAlgn val="ctr"/>
        <c:lblOffset val="100"/>
        <c:noMultiLvlLbl val="0"/>
      </c:catAx>
      <c:valAx>
        <c:axId val="14866432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486531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Não</a:t>
            </a:r>
            <a:r>
              <a:rPr lang="pt-PT" sz="2800" baseline="0"/>
              <a:t> Conformidades</a:t>
            </a:r>
            <a:endParaRPr lang="pt-PT" sz="2800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Template'!$Z$9:$Z$13</c:f>
              <c:strCache>
                <c:ptCount val="5"/>
                <c:pt idx="0">
                  <c:v>Método Plano</c:v>
                </c:pt>
                <c:pt idx="1">
                  <c:v>Die Design</c:v>
                </c:pt>
                <c:pt idx="2">
                  <c:v>Dados de Referência</c:v>
                </c:pt>
                <c:pt idx="3">
                  <c:v>Modelos Esferovite</c:v>
                </c:pt>
                <c:pt idx="4">
                  <c:v>Outras</c:v>
                </c:pt>
              </c:strCache>
            </c:strRef>
          </c:cat>
          <c:val>
            <c:numRef>
              <c:f>'Report Template'!$AA$9:$AA$13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90"/>
        <c:overlap val="-30"/>
        <c:axId val="148671488"/>
        <c:axId val="148694912"/>
      </c:barChart>
      <c:catAx>
        <c:axId val="148671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pt-PT"/>
          </a:p>
        </c:txPr>
        <c:crossAx val="148694912"/>
        <c:crosses val="autoZero"/>
        <c:auto val="1"/>
        <c:lblAlgn val="ctr"/>
        <c:lblOffset val="100"/>
        <c:noMultiLvlLbl val="0"/>
      </c:catAx>
      <c:valAx>
        <c:axId val="14869491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486714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pt-PT" sz="2800"/>
              <a:t>Total de Operações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Template'!$AA$28</c:f>
              <c:strCache>
                <c:ptCount val="1"/>
                <c:pt idx="0">
                  <c:v>Método Plano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Template'!$AA$15:$AA$24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'Report Template'!$AB$28</c:f>
              <c:strCache>
                <c:ptCount val="1"/>
                <c:pt idx="0">
                  <c:v>Die Design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Template'!$AB$15:$AB$24</c:f>
              <c:numCache>
                <c:formatCode>General</c:formatCode>
                <c:ptCount val="10"/>
              </c:numCache>
            </c:numRef>
          </c:val>
        </c:ser>
        <c:ser>
          <c:idx val="2"/>
          <c:order val="2"/>
          <c:tx>
            <c:strRef>
              <c:f>'Report Template'!$AC$28</c:f>
              <c:strCache>
                <c:ptCount val="1"/>
                <c:pt idx="0">
                  <c:v>Dados de Referência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Template'!$AC$15:$AC$24</c:f>
              <c:numCache>
                <c:formatCode>General</c:formatCode>
                <c:ptCount val="10"/>
              </c:numCache>
            </c:numRef>
          </c:val>
        </c:ser>
        <c:ser>
          <c:idx val="3"/>
          <c:order val="3"/>
          <c:tx>
            <c:strRef>
              <c:f>'Report Template'!$AD$28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'Report Template'!$Z$15:$Z$24</c:f>
              <c:strCache>
                <c:ptCount val="10"/>
                <c:pt idx="0">
                  <c:v>DLP</c:v>
                </c:pt>
                <c:pt idx="1">
                  <c:v>OP10</c:v>
                </c:pt>
                <c:pt idx="2">
                  <c:v>OP19</c:v>
                </c:pt>
                <c:pt idx="3">
                  <c:v>OP19.1</c:v>
                </c:pt>
                <c:pt idx="4">
                  <c:v>OP20</c:v>
                </c:pt>
                <c:pt idx="5">
                  <c:v>OP30</c:v>
                </c:pt>
                <c:pt idx="6">
                  <c:v>OP40</c:v>
                </c:pt>
                <c:pt idx="7">
                  <c:v>OP50</c:v>
                </c:pt>
                <c:pt idx="8">
                  <c:v>OP60</c:v>
                </c:pt>
                <c:pt idx="9">
                  <c:v>OP70</c:v>
                </c:pt>
              </c:strCache>
            </c:strRef>
          </c:cat>
          <c:val>
            <c:numRef>
              <c:f>'Report Template'!$AD$15:$AD$24</c:f>
              <c:numCache>
                <c:formatCode>General</c:formatCode>
                <c:ptCount val="10"/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48874752"/>
        <c:axId val="148876288"/>
      </c:barChart>
      <c:catAx>
        <c:axId val="14887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/>
            </a:pPr>
            <a:endParaRPr lang="pt-PT"/>
          </a:p>
        </c:txPr>
        <c:crossAx val="148876288"/>
        <c:crosses val="autoZero"/>
        <c:auto val="1"/>
        <c:lblAlgn val="ctr"/>
        <c:lblOffset val="100"/>
        <c:noMultiLvlLbl val="0"/>
      </c:catAx>
      <c:valAx>
        <c:axId val="14887628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4887475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sz="2000"/>
          </a:pPr>
          <a:endParaRPr lang="pt-P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/>
              <a:t>Total de Relatórios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'Report Por Projeto'!$Z$2:$Z$7</c:f>
              <c:strCache>
                <c:ptCount val="6"/>
                <c:pt idx="0">
                  <c:v>Total NC</c:v>
                </c:pt>
                <c:pt idx="1">
                  <c:v>Total Melhorias / Protocol Aceitação Modelos</c:v>
                </c:pt>
                <c:pt idx="2">
                  <c:v>Total Alteração de Engenharia</c:v>
                </c:pt>
                <c:pt idx="3">
                  <c:v>Total Outros</c:v>
                </c:pt>
                <c:pt idx="4">
                  <c:v>Total Dados de Referência / Correções Dimensional</c:v>
                </c:pt>
                <c:pt idx="5">
                  <c:v>Total de Relatórios</c:v>
                </c:pt>
              </c:strCache>
            </c:strRef>
          </c:cat>
          <c:val>
            <c:numRef>
              <c:f>'Report Por Projeto'!$AA$2:$AA$7</c:f>
              <c:numCache>
                <c:formatCode>General</c:formatCode>
                <c:ptCount val="6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49365504"/>
        <c:axId val="149367040"/>
      </c:barChart>
      <c:catAx>
        <c:axId val="149365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49367040"/>
        <c:crosses val="autoZero"/>
        <c:auto val="1"/>
        <c:lblAlgn val="ctr"/>
        <c:lblOffset val="100"/>
        <c:noMultiLvlLbl val="0"/>
      </c:catAx>
      <c:valAx>
        <c:axId val="14936704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49365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/>
              <a:t>Total NC´s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('Report Por Projeto'!$Z$2,'Report Por Projeto'!$Z$9:$Z$13)</c:f>
              <c:strCache>
                <c:ptCount val="6"/>
                <c:pt idx="0">
                  <c:v>Total NC</c:v>
                </c:pt>
                <c:pt idx="1">
                  <c:v>Método Plano</c:v>
                </c:pt>
                <c:pt idx="2">
                  <c:v>Die Design</c:v>
                </c:pt>
                <c:pt idx="3">
                  <c:v>Dados de Referência</c:v>
                </c:pt>
                <c:pt idx="4">
                  <c:v>Modelos Esferovite</c:v>
                </c:pt>
                <c:pt idx="5">
                  <c:v>Outras</c:v>
                </c:pt>
              </c:strCache>
            </c:strRef>
          </c:cat>
          <c:val>
            <c:numRef>
              <c:f>('Report Por Projeto'!$AA$2,'Report Por Projeto'!$AA$9:$AA$13)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49392384"/>
        <c:axId val="149414656"/>
      </c:barChart>
      <c:catAx>
        <c:axId val="14939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49414656"/>
        <c:crosses val="autoZero"/>
        <c:auto val="1"/>
        <c:lblAlgn val="ctr"/>
        <c:lblOffset val="100"/>
        <c:noMultiLvlLbl val="0"/>
      </c:catAx>
      <c:valAx>
        <c:axId val="14941465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493923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/>
              <a:t>Topologia</a:t>
            </a:r>
            <a:r>
              <a:rPr lang="pt-PT" baseline="0"/>
              <a:t> Método Plano</a:t>
            </a:r>
            <a:endParaRPr lang="pt-PT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'Report Por Projeto'!$Z$15:$Z$19</c:f>
              <c:strCache>
                <c:ptCount val="5"/>
                <c:pt idx="0">
                  <c:v>Defeito Superficies</c:v>
                </c:pt>
                <c:pt idx="1">
                  <c:v>Simulação</c:v>
                </c:pt>
                <c:pt idx="2">
                  <c:v>Ângulos de Corte</c:v>
                </c:pt>
                <c:pt idx="3">
                  <c:v>Xmasse</c:v>
                </c:pt>
                <c:pt idx="4">
                  <c:v>Outros</c:v>
                </c:pt>
              </c:strCache>
            </c:strRef>
          </c:cat>
          <c:val>
            <c:numRef>
              <c:f>'Report Por Projeto'!$AA$15:$AA$19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49312640"/>
        <c:axId val="149314176"/>
      </c:barChart>
      <c:catAx>
        <c:axId val="149312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49314176"/>
        <c:crosses val="autoZero"/>
        <c:auto val="1"/>
        <c:lblAlgn val="ctr"/>
        <c:lblOffset val="100"/>
        <c:noMultiLvlLbl val="0"/>
      </c:catAx>
      <c:valAx>
        <c:axId val="1493141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493126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/>
              <a:t>Topologia Die Design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'Report Por Projeto'!$Z$21:$Z$27</c:f>
              <c:strCache>
                <c:ptCount val="7"/>
                <c:pt idx="0">
                  <c:v>Colisão</c:v>
                </c:pt>
                <c:pt idx="1">
                  <c:v>Templates Internos</c:v>
                </c:pt>
                <c:pt idx="2">
                  <c:v>Verificação</c:v>
                </c:pt>
                <c:pt idx="3">
                  <c:v>Sucata</c:v>
                </c:pt>
                <c:pt idx="4">
                  <c:v>Conceito</c:v>
                </c:pt>
                <c:pt idx="5">
                  <c:v>Funcional</c:v>
                </c:pt>
                <c:pt idx="6">
                  <c:v>Outros</c:v>
                </c:pt>
              </c:strCache>
            </c:strRef>
          </c:cat>
          <c:val>
            <c:numRef>
              <c:f>'Report Por Projeto'!$AA$21:$AA$27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49347328"/>
        <c:axId val="149353216"/>
      </c:barChart>
      <c:catAx>
        <c:axId val="14934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49353216"/>
        <c:crosses val="autoZero"/>
        <c:auto val="1"/>
        <c:lblAlgn val="ctr"/>
        <c:lblOffset val="100"/>
        <c:noMultiLvlLbl val="0"/>
      </c:catAx>
      <c:valAx>
        <c:axId val="14935321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49347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/>
              <a:t>Topologia</a:t>
            </a:r>
            <a:r>
              <a:rPr lang="pt-PT" baseline="0"/>
              <a:t> Dados de Referência</a:t>
            </a:r>
            <a:endParaRPr lang="pt-PT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'Report Por Projeto'!$Z$29:$Z$33</c:f>
              <c:strCache>
                <c:ptCount val="5"/>
                <c:pt idx="0">
                  <c:v>Superfícies</c:v>
                </c:pt>
                <c:pt idx="1">
                  <c:v>Marcadores</c:v>
                </c:pt>
                <c:pt idx="2">
                  <c:v>Facas/Alterar Corte</c:v>
                </c:pt>
                <c:pt idx="3">
                  <c:v>Druchbild</c:v>
                </c:pt>
                <c:pt idx="4">
                  <c:v>Outros</c:v>
                </c:pt>
              </c:strCache>
            </c:strRef>
          </c:cat>
          <c:val>
            <c:numRef>
              <c:f>'Report Por Projeto'!$AA$29:$AA$33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49132416"/>
        <c:axId val="149133952"/>
      </c:barChart>
      <c:catAx>
        <c:axId val="14913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49133952"/>
        <c:crosses val="autoZero"/>
        <c:auto val="1"/>
        <c:lblAlgn val="ctr"/>
        <c:lblOffset val="100"/>
        <c:noMultiLvlLbl val="0"/>
      </c:catAx>
      <c:valAx>
        <c:axId val="14913395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491324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/>
              <a:t>Topologia</a:t>
            </a:r>
            <a:r>
              <a:rPr lang="pt-PT" baseline="0"/>
              <a:t> Modelos Esferovite</a:t>
            </a:r>
            <a:endParaRPr lang="pt-PT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'Report Por Projeto'!$Z$35:$Z$39</c:f>
              <c:strCache>
                <c:ptCount val="5"/>
                <c:pt idx="0">
                  <c:v>Falha Material</c:v>
                </c:pt>
                <c:pt idx="1">
                  <c:v>Chochos/Poros de Fundição</c:v>
                </c:pt>
                <c:pt idx="2">
                  <c:v>Fundição Empenada</c:v>
                </c:pt>
                <c:pt idx="3">
                  <c:v>Material Errado</c:v>
                </c:pt>
                <c:pt idx="4">
                  <c:v>Outros</c:v>
                </c:pt>
              </c:strCache>
            </c:strRef>
          </c:cat>
          <c:val>
            <c:numRef>
              <c:f>'Report Por Projeto'!$AA$35:$AA$39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49175296"/>
        <c:axId val="149177088"/>
      </c:barChart>
      <c:catAx>
        <c:axId val="14917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49177088"/>
        <c:crosses val="autoZero"/>
        <c:auto val="1"/>
        <c:lblAlgn val="ctr"/>
        <c:lblOffset val="100"/>
        <c:noMultiLvlLbl val="0"/>
      </c:catAx>
      <c:valAx>
        <c:axId val="14917708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49175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2.jpeg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image" Target="../media/image1.png"/><Relationship Id="rId4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image" Target="../media/image1.png"/><Relationship Id="rId4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image" Target="../media/image1.png"/><Relationship Id="rId4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5" Type="http://schemas.openxmlformats.org/officeDocument/2006/relationships/image" Target="../media/image1.png"/><Relationship Id="rId4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image" Target="../media/image1.png"/><Relationship Id="rId4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5" Type="http://schemas.openxmlformats.org/officeDocument/2006/relationships/image" Target="../media/image1.png"/><Relationship Id="rId4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5" Type="http://schemas.openxmlformats.org/officeDocument/2006/relationships/image" Target="../media/image1.png"/><Relationship Id="rId4" Type="http://schemas.openxmlformats.org/officeDocument/2006/relationships/image" Target="../media/image2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1.png"/><Relationship Id="rId4" Type="http://schemas.openxmlformats.org/officeDocument/2006/relationships/image" Target="../media/image2.jpe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5" Type="http://schemas.openxmlformats.org/officeDocument/2006/relationships/image" Target="../media/image1.png"/><Relationship Id="rId4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image" Target="../media/image1.png"/><Relationship Id="rId4" Type="http://schemas.openxmlformats.org/officeDocument/2006/relationships/image" Target="../media/image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5" Type="http://schemas.openxmlformats.org/officeDocument/2006/relationships/image" Target="../media/image1.png"/><Relationship Id="rId4" Type="http://schemas.openxmlformats.org/officeDocument/2006/relationships/image" Target="../media/image2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image" Target="../media/image1.png"/><Relationship Id="rId4" Type="http://schemas.openxmlformats.org/officeDocument/2006/relationships/image" Target="../media/image2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Relationship Id="rId5" Type="http://schemas.openxmlformats.org/officeDocument/2006/relationships/image" Target="../media/image1.png"/><Relationship Id="rId4" Type="http://schemas.openxmlformats.org/officeDocument/2006/relationships/image" Target="../media/image2.jpe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5" Type="http://schemas.openxmlformats.org/officeDocument/2006/relationships/image" Target="../media/image1.png"/><Relationship Id="rId4" Type="http://schemas.openxmlformats.org/officeDocument/2006/relationships/image" Target="../media/image2.jpe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5" Type="http://schemas.openxmlformats.org/officeDocument/2006/relationships/image" Target="../media/image1.png"/><Relationship Id="rId4" Type="http://schemas.openxmlformats.org/officeDocument/2006/relationships/image" Target="../media/image2.jpe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5" Type="http://schemas.openxmlformats.org/officeDocument/2006/relationships/image" Target="../media/image1.png"/><Relationship Id="rId4" Type="http://schemas.openxmlformats.org/officeDocument/2006/relationships/image" Target="../media/image2.jpe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Relationship Id="rId5" Type="http://schemas.openxmlformats.org/officeDocument/2006/relationships/image" Target="../media/image1.png"/><Relationship Id="rId4" Type="http://schemas.openxmlformats.org/officeDocument/2006/relationships/image" Target="../media/image2.jpe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Relationship Id="rId5" Type="http://schemas.openxmlformats.org/officeDocument/2006/relationships/image" Target="../media/image1.png"/><Relationship Id="rId4" Type="http://schemas.openxmlformats.org/officeDocument/2006/relationships/image" Target="../media/image2.jpe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Relationship Id="rId5" Type="http://schemas.openxmlformats.org/officeDocument/2006/relationships/image" Target="../media/image1.png"/><Relationship Id="rId4" Type="http://schemas.openxmlformats.org/officeDocument/2006/relationships/image" Target="../media/image2.jpe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5" Type="http://schemas.openxmlformats.org/officeDocument/2006/relationships/image" Target="../media/image1.png"/><Relationship Id="rId4" Type="http://schemas.openxmlformats.org/officeDocument/2006/relationships/image" Target="../media/image2.jpe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Relationship Id="rId5" Type="http://schemas.openxmlformats.org/officeDocument/2006/relationships/image" Target="../media/image1.png"/><Relationship Id="rId4" Type="http://schemas.openxmlformats.org/officeDocument/2006/relationships/image" Target="../media/image2.jpe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Relationship Id="rId5" Type="http://schemas.openxmlformats.org/officeDocument/2006/relationships/image" Target="../media/image1.png"/><Relationship Id="rId4" Type="http://schemas.openxmlformats.org/officeDocument/2006/relationships/image" Target="../media/image2.jpe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Relationship Id="rId5" Type="http://schemas.openxmlformats.org/officeDocument/2006/relationships/image" Target="../media/image1.png"/><Relationship Id="rId4" Type="http://schemas.openxmlformats.org/officeDocument/2006/relationships/image" Target="../media/image2.jpe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jpeg"/><Relationship Id="rId3" Type="http://schemas.openxmlformats.org/officeDocument/2006/relationships/chart" Target="../charts/chart74.xml"/><Relationship Id="rId7" Type="http://schemas.openxmlformats.org/officeDocument/2006/relationships/chart" Target="../charts/chart78.xml"/><Relationship Id="rId2" Type="http://schemas.openxmlformats.org/officeDocument/2006/relationships/image" Target="../media/image1.png"/><Relationship Id="rId1" Type="http://schemas.openxmlformats.org/officeDocument/2006/relationships/chart" Target="../charts/chart73.xml"/><Relationship Id="rId6" Type="http://schemas.openxmlformats.org/officeDocument/2006/relationships/chart" Target="../charts/chart77.xml"/><Relationship Id="rId5" Type="http://schemas.openxmlformats.org/officeDocument/2006/relationships/chart" Target="../charts/chart76.xml"/><Relationship Id="rId4" Type="http://schemas.openxmlformats.org/officeDocument/2006/relationships/chart" Target="../charts/chart7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18192</xdr:colOff>
      <xdr:row>0</xdr:row>
      <xdr:rowOff>79994</xdr:rowOff>
    </xdr:from>
    <xdr:to>
      <xdr:col>22</xdr:col>
      <xdr:colOff>1161192</xdr:colOff>
      <xdr:row>4</xdr:row>
      <xdr:rowOff>46089</xdr:rowOff>
    </xdr:to>
    <xdr:sp macro="[0]!RefreshData2" textlink="">
      <xdr:nvSpPr>
        <xdr:cNvPr id="10" name="Rounded Rectangle 9"/>
        <xdr:cNvSpPr/>
      </xdr:nvSpPr>
      <xdr:spPr>
        <a:xfrm>
          <a:off x="13061297" y="79994"/>
          <a:ext cx="1972597" cy="7342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800"/>
            <a:t>Atualizar Página</a:t>
          </a:r>
        </a:p>
      </xdr:txBody>
    </xdr:sp>
    <xdr:clientData/>
  </xdr:twoCellAnchor>
  <xdr:twoCellAnchor>
    <xdr:from>
      <xdr:col>19</xdr:col>
      <xdr:colOff>105030</xdr:colOff>
      <xdr:row>0</xdr:row>
      <xdr:rowOff>74056</xdr:rowOff>
    </xdr:from>
    <xdr:to>
      <xdr:col>19</xdr:col>
      <xdr:colOff>2078065</xdr:colOff>
      <xdr:row>4</xdr:row>
      <xdr:rowOff>35956</xdr:rowOff>
    </xdr:to>
    <xdr:sp macro="[0]!ChangeYear" textlink="">
      <xdr:nvSpPr>
        <xdr:cNvPr id="12" name="Rounded Rectangle 11"/>
        <xdr:cNvSpPr/>
      </xdr:nvSpPr>
      <xdr:spPr>
        <a:xfrm>
          <a:off x="11113209" y="74056"/>
          <a:ext cx="1973035" cy="723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000"/>
            <a:t>Mudar</a:t>
          </a:r>
          <a:r>
            <a:rPr lang="pt-PT" sz="2000" baseline="0"/>
            <a:t> Ano</a:t>
          </a:r>
          <a:endParaRPr lang="pt-PT" sz="2000"/>
        </a:p>
      </xdr:txBody>
    </xdr:sp>
    <xdr:clientData/>
  </xdr:twoCellAnchor>
  <xdr:twoCellAnchor>
    <xdr:from>
      <xdr:col>22</xdr:col>
      <xdr:colOff>1197428</xdr:colOff>
      <xdr:row>0</xdr:row>
      <xdr:rowOff>68036</xdr:rowOff>
    </xdr:from>
    <xdr:to>
      <xdr:col>24</xdr:col>
      <xdr:colOff>653142</xdr:colOff>
      <xdr:row>4</xdr:row>
      <xdr:rowOff>53770</xdr:rowOff>
    </xdr:to>
    <xdr:sp macro="[0]!CreateSheetPerProject" textlink="">
      <xdr:nvSpPr>
        <xdr:cNvPr id="22" name="Rounded Rectangle 21"/>
        <xdr:cNvSpPr/>
      </xdr:nvSpPr>
      <xdr:spPr>
        <a:xfrm>
          <a:off x="15144749" y="68036"/>
          <a:ext cx="1959429" cy="74773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800"/>
            <a:t>Atualizar Páginas de Projetos</a:t>
          </a:r>
        </a:p>
      </xdr:txBody>
    </xdr:sp>
    <xdr:clientData/>
  </xdr:twoCellAnchor>
  <xdr:twoCellAnchor>
    <xdr:from>
      <xdr:col>1</xdr:col>
      <xdr:colOff>155863</xdr:colOff>
      <xdr:row>10</xdr:row>
      <xdr:rowOff>155863</xdr:rowOff>
    </xdr:from>
    <xdr:to>
      <xdr:col>17</xdr:col>
      <xdr:colOff>500062</xdr:colOff>
      <xdr:row>48</xdr:row>
      <xdr:rowOff>51954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155864</xdr:colOff>
      <xdr:row>53</xdr:row>
      <xdr:rowOff>121227</xdr:rowOff>
    </xdr:from>
    <xdr:to>
      <xdr:col>17</xdr:col>
      <xdr:colOff>476250</xdr:colOff>
      <xdr:row>91</xdr:row>
      <xdr:rowOff>34637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155864</xdr:colOff>
      <xdr:row>96</xdr:row>
      <xdr:rowOff>155864</xdr:rowOff>
    </xdr:from>
    <xdr:to>
      <xdr:col>17</xdr:col>
      <xdr:colOff>476250</xdr:colOff>
      <xdr:row>134</xdr:row>
      <xdr:rowOff>69273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16</xdr:col>
      <xdr:colOff>589434</xdr:colOff>
      <xdr:row>135</xdr:row>
      <xdr:rowOff>81645</xdr:rowOff>
    </xdr:from>
    <xdr:to>
      <xdr:col>17</xdr:col>
      <xdr:colOff>456714</xdr:colOff>
      <xdr:row>140</xdr:row>
      <xdr:rowOff>183081</xdr:rowOff>
    </xdr:to>
    <xdr:pic>
      <xdr:nvPicPr>
        <xdr:cNvPr id="34" name="Picture 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1834" y="25808670"/>
          <a:ext cx="915030" cy="1053936"/>
        </a:xfrm>
        <a:prstGeom prst="rect">
          <a:avLst/>
        </a:prstGeom>
        <a:noFill/>
        <a:ln>
          <a:noFill/>
        </a:ln>
        <a:effectLst>
          <a:glow>
            <a:schemeClr val="accent3">
              <a:satMod val="175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161925</xdr:colOff>
      <xdr:row>136</xdr:row>
      <xdr:rowOff>23813</xdr:rowOff>
    </xdr:from>
    <xdr:to>
      <xdr:col>3</xdr:col>
      <xdr:colOff>356754</xdr:colOff>
      <xdr:row>140</xdr:row>
      <xdr:rowOff>143557</xdr:rowOff>
    </xdr:to>
    <xdr:pic>
      <xdr:nvPicPr>
        <xdr:cNvPr id="37" name="Picture 3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25941338"/>
          <a:ext cx="2290329" cy="881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112449</xdr:colOff>
      <xdr:row>0</xdr:row>
      <xdr:rowOff>58635</xdr:rowOff>
    </xdr:from>
    <xdr:to>
      <xdr:col>19</xdr:col>
      <xdr:colOff>2083190</xdr:colOff>
      <xdr:row>4</xdr:row>
      <xdr:rowOff>21318</xdr:rowOff>
    </xdr:to>
    <xdr:sp macro="[0]!RefreshData3" textlink="">
      <xdr:nvSpPr>
        <xdr:cNvPr id="2" name="Rounded Rectangle 1"/>
        <xdr:cNvSpPr/>
      </xdr:nvSpPr>
      <xdr:spPr>
        <a:xfrm>
          <a:off x="17466999" y="58635"/>
          <a:ext cx="1970741" cy="7246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800"/>
            <a:t>Atualizar Página</a:t>
          </a:r>
        </a:p>
      </xdr:txBody>
    </xdr:sp>
    <xdr:clientData/>
  </xdr:twoCellAnchor>
  <xdr:twoCellAnchor>
    <xdr:from>
      <xdr:col>1</xdr:col>
      <xdr:colOff>155863</xdr:colOff>
      <xdr:row>10</xdr:row>
      <xdr:rowOff>155863</xdr:rowOff>
    </xdr:from>
    <xdr:to>
      <xdr:col>17</xdr:col>
      <xdr:colOff>500062</xdr:colOff>
      <xdr:row>48</xdr:row>
      <xdr:rowOff>51954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155864</xdr:colOff>
      <xdr:row>53</xdr:row>
      <xdr:rowOff>121227</xdr:rowOff>
    </xdr:from>
    <xdr:to>
      <xdr:col>17</xdr:col>
      <xdr:colOff>476250</xdr:colOff>
      <xdr:row>91</xdr:row>
      <xdr:rowOff>34637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155864</xdr:colOff>
      <xdr:row>96</xdr:row>
      <xdr:rowOff>155864</xdr:rowOff>
    </xdr:from>
    <xdr:to>
      <xdr:col>17</xdr:col>
      <xdr:colOff>476250</xdr:colOff>
      <xdr:row>134</xdr:row>
      <xdr:rowOff>69273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156883</xdr:colOff>
      <xdr:row>136</xdr:row>
      <xdr:rowOff>22413</xdr:rowOff>
    </xdr:from>
    <xdr:to>
      <xdr:col>3</xdr:col>
      <xdr:colOff>780337</xdr:colOff>
      <xdr:row>140</xdr:row>
      <xdr:rowOff>142157</xdr:rowOff>
    </xdr:to>
    <xdr:pic>
      <xdr:nvPicPr>
        <xdr:cNvPr id="6" name="Picture 3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1208" y="25939938"/>
          <a:ext cx="2280804" cy="881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589434</xdr:colOff>
      <xdr:row>135</xdr:row>
      <xdr:rowOff>81645</xdr:rowOff>
    </xdr:from>
    <xdr:to>
      <xdr:col>17</xdr:col>
      <xdr:colOff>456714</xdr:colOff>
      <xdr:row>141</xdr:row>
      <xdr:rowOff>2879</xdr:rowOff>
    </xdr:to>
    <xdr:pic>
      <xdr:nvPicPr>
        <xdr:cNvPr id="7" name="Picture 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1834" y="25808670"/>
          <a:ext cx="915030" cy="1053936"/>
        </a:xfrm>
        <a:prstGeom prst="rect">
          <a:avLst/>
        </a:prstGeom>
        <a:noFill/>
        <a:ln>
          <a:noFill/>
        </a:ln>
        <a:effectLst>
          <a:glow>
            <a:schemeClr val="accent3">
              <a:satMod val="175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112449</xdr:colOff>
      <xdr:row>0</xdr:row>
      <xdr:rowOff>58635</xdr:rowOff>
    </xdr:from>
    <xdr:to>
      <xdr:col>19</xdr:col>
      <xdr:colOff>2083190</xdr:colOff>
      <xdr:row>4</xdr:row>
      <xdr:rowOff>21318</xdr:rowOff>
    </xdr:to>
    <xdr:sp macro="[0]!RefreshData3" textlink="">
      <xdr:nvSpPr>
        <xdr:cNvPr id="2" name="Rounded Rectangle 1"/>
        <xdr:cNvSpPr/>
      </xdr:nvSpPr>
      <xdr:spPr>
        <a:xfrm>
          <a:off x="17466999" y="58635"/>
          <a:ext cx="1970741" cy="7246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800"/>
            <a:t>Atualizar Página</a:t>
          </a:r>
        </a:p>
      </xdr:txBody>
    </xdr:sp>
    <xdr:clientData/>
  </xdr:twoCellAnchor>
  <xdr:twoCellAnchor>
    <xdr:from>
      <xdr:col>1</xdr:col>
      <xdr:colOff>155863</xdr:colOff>
      <xdr:row>10</xdr:row>
      <xdr:rowOff>155863</xdr:rowOff>
    </xdr:from>
    <xdr:to>
      <xdr:col>17</xdr:col>
      <xdr:colOff>500062</xdr:colOff>
      <xdr:row>48</xdr:row>
      <xdr:rowOff>51954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155864</xdr:colOff>
      <xdr:row>53</xdr:row>
      <xdr:rowOff>121227</xdr:rowOff>
    </xdr:from>
    <xdr:to>
      <xdr:col>17</xdr:col>
      <xdr:colOff>476250</xdr:colOff>
      <xdr:row>91</xdr:row>
      <xdr:rowOff>34637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155864</xdr:colOff>
      <xdr:row>96</xdr:row>
      <xdr:rowOff>155864</xdr:rowOff>
    </xdr:from>
    <xdr:to>
      <xdr:col>17</xdr:col>
      <xdr:colOff>476250</xdr:colOff>
      <xdr:row>134</xdr:row>
      <xdr:rowOff>69273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156883</xdr:colOff>
      <xdr:row>136</xdr:row>
      <xdr:rowOff>22413</xdr:rowOff>
    </xdr:from>
    <xdr:to>
      <xdr:col>3</xdr:col>
      <xdr:colOff>780337</xdr:colOff>
      <xdr:row>140</xdr:row>
      <xdr:rowOff>142157</xdr:rowOff>
    </xdr:to>
    <xdr:pic>
      <xdr:nvPicPr>
        <xdr:cNvPr id="6" name="Picture 3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1208" y="25939938"/>
          <a:ext cx="2280804" cy="881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589434</xdr:colOff>
      <xdr:row>135</xdr:row>
      <xdr:rowOff>81645</xdr:rowOff>
    </xdr:from>
    <xdr:to>
      <xdr:col>17</xdr:col>
      <xdr:colOff>456714</xdr:colOff>
      <xdr:row>141</xdr:row>
      <xdr:rowOff>2879</xdr:rowOff>
    </xdr:to>
    <xdr:pic>
      <xdr:nvPicPr>
        <xdr:cNvPr id="7" name="Picture 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1834" y="25808670"/>
          <a:ext cx="915030" cy="1053936"/>
        </a:xfrm>
        <a:prstGeom prst="rect">
          <a:avLst/>
        </a:prstGeom>
        <a:noFill/>
        <a:ln>
          <a:noFill/>
        </a:ln>
        <a:effectLst>
          <a:glow>
            <a:schemeClr val="accent3">
              <a:satMod val="175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112449</xdr:colOff>
      <xdr:row>0</xdr:row>
      <xdr:rowOff>58635</xdr:rowOff>
    </xdr:from>
    <xdr:to>
      <xdr:col>19</xdr:col>
      <xdr:colOff>2083190</xdr:colOff>
      <xdr:row>4</xdr:row>
      <xdr:rowOff>21318</xdr:rowOff>
    </xdr:to>
    <xdr:sp macro="[0]!RefreshData3" textlink="">
      <xdr:nvSpPr>
        <xdr:cNvPr id="2" name="Rounded Rectangle 1"/>
        <xdr:cNvSpPr/>
      </xdr:nvSpPr>
      <xdr:spPr>
        <a:xfrm>
          <a:off x="17466999" y="58635"/>
          <a:ext cx="1970741" cy="7246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800"/>
            <a:t>Atualizar Página</a:t>
          </a:r>
        </a:p>
      </xdr:txBody>
    </xdr:sp>
    <xdr:clientData/>
  </xdr:twoCellAnchor>
  <xdr:twoCellAnchor>
    <xdr:from>
      <xdr:col>1</xdr:col>
      <xdr:colOff>155863</xdr:colOff>
      <xdr:row>10</xdr:row>
      <xdr:rowOff>155863</xdr:rowOff>
    </xdr:from>
    <xdr:to>
      <xdr:col>17</xdr:col>
      <xdr:colOff>500062</xdr:colOff>
      <xdr:row>48</xdr:row>
      <xdr:rowOff>51954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155864</xdr:colOff>
      <xdr:row>53</xdr:row>
      <xdr:rowOff>121227</xdr:rowOff>
    </xdr:from>
    <xdr:to>
      <xdr:col>17</xdr:col>
      <xdr:colOff>476250</xdr:colOff>
      <xdr:row>91</xdr:row>
      <xdr:rowOff>34637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155864</xdr:colOff>
      <xdr:row>96</xdr:row>
      <xdr:rowOff>155864</xdr:rowOff>
    </xdr:from>
    <xdr:to>
      <xdr:col>17</xdr:col>
      <xdr:colOff>476250</xdr:colOff>
      <xdr:row>134</xdr:row>
      <xdr:rowOff>69273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156883</xdr:colOff>
      <xdr:row>136</xdr:row>
      <xdr:rowOff>22413</xdr:rowOff>
    </xdr:from>
    <xdr:to>
      <xdr:col>3</xdr:col>
      <xdr:colOff>780337</xdr:colOff>
      <xdr:row>140</xdr:row>
      <xdr:rowOff>142157</xdr:rowOff>
    </xdr:to>
    <xdr:pic>
      <xdr:nvPicPr>
        <xdr:cNvPr id="6" name="Picture 3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1208" y="25939938"/>
          <a:ext cx="2280804" cy="881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589434</xdr:colOff>
      <xdr:row>135</xdr:row>
      <xdr:rowOff>81645</xdr:rowOff>
    </xdr:from>
    <xdr:to>
      <xdr:col>17</xdr:col>
      <xdr:colOff>456714</xdr:colOff>
      <xdr:row>141</xdr:row>
      <xdr:rowOff>2879</xdr:rowOff>
    </xdr:to>
    <xdr:pic>
      <xdr:nvPicPr>
        <xdr:cNvPr id="7" name="Picture 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1834" y="25808670"/>
          <a:ext cx="915030" cy="1053936"/>
        </a:xfrm>
        <a:prstGeom prst="rect">
          <a:avLst/>
        </a:prstGeom>
        <a:noFill/>
        <a:ln>
          <a:noFill/>
        </a:ln>
        <a:effectLst>
          <a:glow>
            <a:schemeClr val="accent3">
              <a:satMod val="175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112449</xdr:colOff>
      <xdr:row>0</xdr:row>
      <xdr:rowOff>58635</xdr:rowOff>
    </xdr:from>
    <xdr:to>
      <xdr:col>19</xdr:col>
      <xdr:colOff>2083190</xdr:colOff>
      <xdr:row>4</xdr:row>
      <xdr:rowOff>21318</xdr:rowOff>
    </xdr:to>
    <xdr:sp macro="[0]!RefreshData3" textlink="">
      <xdr:nvSpPr>
        <xdr:cNvPr id="2" name="Rounded Rectangle 1"/>
        <xdr:cNvSpPr/>
      </xdr:nvSpPr>
      <xdr:spPr>
        <a:xfrm>
          <a:off x="17466999" y="58635"/>
          <a:ext cx="1970741" cy="7246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800"/>
            <a:t>Atualizar Página</a:t>
          </a:r>
        </a:p>
      </xdr:txBody>
    </xdr:sp>
    <xdr:clientData/>
  </xdr:twoCellAnchor>
  <xdr:twoCellAnchor>
    <xdr:from>
      <xdr:col>1</xdr:col>
      <xdr:colOff>155863</xdr:colOff>
      <xdr:row>10</xdr:row>
      <xdr:rowOff>155863</xdr:rowOff>
    </xdr:from>
    <xdr:to>
      <xdr:col>17</xdr:col>
      <xdr:colOff>500062</xdr:colOff>
      <xdr:row>48</xdr:row>
      <xdr:rowOff>51954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155864</xdr:colOff>
      <xdr:row>53</xdr:row>
      <xdr:rowOff>121227</xdr:rowOff>
    </xdr:from>
    <xdr:to>
      <xdr:col>17</xdr:col>
      <xdr:colOff>476250</xdr:colOff>
      <xdr:row>91</xdr:row>
      <xdr:rowOff>34637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155864</xdr:colOff>
      <xdr:row>96</xdr:row>
      <xdr:rowOff>155864</xdr:rowOff>
    </xdr:from>
    <xdr:to>
      <xdr:col>17</xdr:col>
      <xdr:colOff>476250</xdr:colOff>
      <xdr:row>134</xdr:row>
      <xdr:rowOff>69273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156883</xdr:colOff>
      <xdr:row>136</xdr:row>
      <xdr:rowOff>22413</xdr:rowOff>
    </xdr:from>
    <xdr:to>
      <xdr:col>3</xdr:col>
      <xdr:colOff>780337</xdr:colOff>
      <xdr:row>140</xdr:row>
      <xdr:rowOff>142157</xdr:rowOff>
    </xdr:to>
    <xdr:pic>
      <xdr:nvPicPr>
        <xdr:cNvPr id="6" name="Picture 3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1208" y="25939938"/>
          <a:ext cx="2280804" cy="881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589434</xdr:colOff>
      <xdr:row>135</xdr:row>
      <xdr:rowOff>81645</xdr:rowOff>
    </xdr:from>
    <xdr:to>
      <xdr:col>17</xdr:col>
      <xdr:colOff>456714</xdr:colOff>
      <xdr:row>141</xdr:row>
      <xdr:rowOff>2879</xdr:rowOff>
    </xdr:to>
    <xdr:pic>
      <xdr:nvPicPr>
        <xdr:cNvPr id="7" name="Picture 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1834" y="25808670"/>
          <a:ext cx="915030" cy="1053936"/>
        </a:xfrm>
        <a:prstGeom prst="rect">
          <a:avLst/>
        </a:prstGeom>
        <a:noFill/>
        <a:ln>
          <a:noFill/>
        </a:ln>
        <a:effectLst>
          <a:glow>
            <a:schemeClr val="accent3">
              <a:satMod val="175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112449</xdr:colOff>
      <xdr:row>0</xdr:row>
      <xdr:rowOff>58635</xdr:rowOff>
    </xdr:from>
    <xdr:to>
      <xdr:col>19</xdr:col>
      <xdr:colOff>2083190</xdr:colOff>
      <xdr:row>4</xdr:row>
      <xdr:rowOff>21318</xdr:rowOff>
    </xdr:to>
    <xdr:sp macro="[0]!RefreshData3" textlink="">
      <xdr:nvSpPr>
        <xdr:cNvPr id="2" name="Rounded Rectangle 1"/>
        <xdr:cNvSpPr/>
      </xdr:nvSpPr>
      <xdr:spPr>
        <a:xfrm>
          <a:off x="17466999" y="58635"/>
          <a:ext cx="1970741" cy="7246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800"/>
            <a:t>Atualizar Página</a:t>
          </a:r>
        </a:p>
      </xdr:txBody>
    </xdr:sp>
    <xdr:clientData/>
  </xdr:twoCellAnchor>
  <xdr:twoCellAnchor>
    <xdr:from>
      <xdr:col>1</xdr:col>
      <xdr:colOff>155863</xdr:colOff>
      <xdr:row>10</xdr:row>
      <xdr:rowOff>155863</xdr:rowOff>
    </xdr:from>
    <xdr:to>
      <xdr:col>17</xdr:col>
      <xdr:colOff>500062</xdr:colOff>
      <xdr:row>48</xdr:row>
      <xdr:rowOff>51954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155864</xdr:colOff>
      <xdr:row>53</xdr:row>
      <xdr:rowOff>121227</xdr:rowOff>
    </xdr:from>
    <xdr:to>
      <xdr:col>17</xdr:col>
      <xdr:colOff>476250</xdr:colOff>
      <xdr:row>91</xdr:row>
      <xdr:rowOff>34637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155864</xdr:colOff>
      <xdr:row>96</xdr:row>
      <xdr:rowOff>155864</xdr:rowOff>
    </xdr:from>
    <xdr:to>
      <xdr:col>17</xdr:col>
      <xdr:colOff>476250</xdr:colOff>
      <xdr:row>134</xdr:row>
      <xdr:rowOff>69273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156883</xdr:colOff>
      <xdr:row>136</xdr:row>
      <xdr:rowOff>22413</xdr:rowOff>
    </xdr:from>
    <xdr:to>
      <xdr:col>3</xdr:col>
      <xdr:colOff>780337</xdr:colOff>
      <xdr:row>140</xdr:row>
      <xdr:rowOff>142157</xdr:rowOff>
    </xdr:to>
    <xdr:pic>
      <xdr:nvPicPr>
        <xdr:cNvPr id="6" name="Picture 3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1208" y="25939938"/>
          <a:ext cx="2280804" cy="881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589434</xdr:colOff>
      <xdr:row>135</xdr:row>
      <xdr:rowOff>81645</xdr:rowOff>
    </xdr:from>
    <xdr:to>
      <xdr:col>17</xdr:col>
      <xdr:colOff>456714</xdr:colOff>
      <xdr:row>141</xdr:row>
      <xdr:rowOff>2879</xdr:rowOff>
    </xdr:to>
    <xdr:pic>
      <xdr:nvPicPr>
        <xdr:cNvPr id="7" name="Picture 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1834" y="25808670"/>
          <a:ext cx="915030" cy="1053936"/>
        </a:xfrm>
        <a:prstGeom prst="rect">
          <a:avLst/>
        </a:prstGeom>
        <a:noFill/>
        <a:ln>
          <a:noFill/>
        </a:ln>
        <a:effectLst>
          <a:glow>
            <a:schemeClr val="accent3">
              <a:satMod val="175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112449</xdr:colOff>
      <xdr:row>0</xdr:row>
      <xdr:rowOff>58635</xdr:rowOff>
    </xdr:from>
    <xdr:to>
      <xdr:col>19</xdr:col>
      <xdr:colOff>2083190</xdr:colOff>
      <xdr:row>4</xdr:row>
      <xdr:rowOff>21318</xdr:rowOff>
    </xdr:to>
    <xdr:sp macro="[0]!RefreshData3" textlink="">
      <xdr:nvSpPr>
        <xdr:cNvPr id="2" name="Rounded Rectangle 1"/>
        <xdr:cNvSpPr/>
      </xdr:nvSpPr>
      <xdr:spPr>
        <a:xfrm>
          <a:off x="17466999" y="58635"/>
          <a:ext cx="1970741" cy="7246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800"/>
            <a:t>Atualizar Página</a:t>
          </a:r>
        </a:p>
      </xdr:txBody>
    </xdr:sp>
    <xdr:clientData/>
  </xdr:twoCellAnchor>
  <xdr:twoCellAnchor>
    <xdr:from>
      <xdr:col>1</xdr:col>
      <xdr:colOff>155863</xdr:colOff>
      <xdr:row>10</xdr:row>
      <xdr:rowOff>155863</xdr:rowOff>
    </xdr:from>
    <xdr:to>
      <xdr:col>17</xdr:col>
      <xdr:colOff>500062</xdr:colOff>
      <xdr:row>48</xdr:row>
      <xdr:rowOff>51954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155864</xdr:colOff>
      <xdr:row>53</xdr:row>
      <xdr:rowOff>121227</xdr:rowOff>
    </xdr:from>
    <xdr:to>
      <xdr:col>17</xdr:col>
      <xdr:colOff>476250</xdr:colOff>
      <xdr:row>91</xdr:row>
      <xdr:rowOff>34637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155864</xdr:colOff>
      <xdr:row>96</xdr:row>
      <xdr:rowOff>155864</xdr:rowOff>
    </xdr:from>
    <xdr:to>
      <xdr:col>17</xdr:col>
      <xdr:colOff>476250</xdr:colOff>
      <xdr:row>134</xdr:row>
      <xdr:rowOff>69273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156883</xdr:colOff>
      <xdr:row>136</xdr:row>
      <xdr:rowOff>22413</xdr:rowOff>
    </xdr:from>
    <xdr:to>
      <xdr:col>3</xdr:col>
      <xdr:colOff>780337</xdr:colOff>
      <xdr:row>140</xdr:row>
      <xdr:rowOff>142157</xdr:rowOff>
    </xdr:to>
    <xdr:pic>
      <xdr:nvPicPr>
        <xdr:cNvPr id="6" name="Picture 3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1208" y="25939938"/>
          <a:ext cx="2280804" cy="881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589434</xdr:colOff>
      <xdr:row>135</xdr:row>
      <xdr:rowOff>81645</xdr:rowOff>
    </xdr:from>
    <xdr:to>
      <xdr:col>17</xdr:col>
      <xdr:colOff>456714</xdr:colOff>
      <xdr:row>141</xdr:row>
      <xdr:rowOff>2879</xdr:rowOff>
    </xdr:to>
    <xdr:pic>
      <xdr:nvPicPr>
        <xdr:cNvPr id="7" name="Picture 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1834" y="25808670"/>
          <a:ext cx="915030" cy="1053936"/>
        </a:xfrm>
        <a:prstGeom prst="rect">
          <a:avLst/>
        </a:prstGeom>
        <a:noFill/>
        <a:ln>
          <a:noFill/>
        </a:ln>
        <a:effectLst>
          <a:glow>
            <a:schemeClr val="accent3">
              <a:satMod val="175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112449</xdr:colOff>
      <xdr:row>0</xdr:row>
      <xdr:rowOff>58635</xdr:rowOff>
    </xdr:from>
    <xdr:to>
      <xdr:col>19</xdr:col>
      <xdr:colOff>2083190</xdr:colOff>
      <xdr:row>4</xdr:row>
      <xdr:rowOff>21318</xdr:rowOff>
    </xdr:to>
    <xdr:sp macro="[0]!RefreshData3" textlink="">
      <xdr:nvSpPr>
        <xdr:cNvPr id="2" name="Rounded Rectangle 1"/>
        <xdr:cNvSpPr/>
      </xdr:nvSpPr>
      <xdr:spPr>
        <a:xfrm>
          <a:off x="17466999" y="58635"/>
          <a:ext cx="1970741" cy="7246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800"/>
            <a:t>Atualizar Página</a:t>
          </a:r>
        </a:p>
      </xdr:txBody>
    </xdr:sp>
    <xdr:clientData/>
  </xdr:twoCellAnchor>
  <xdr:twoCellAnchor>
    <xdr:from>
      <xdr:col>1</xdr:col>
      <xdr:colOff>155863</xdr:colOff>
      <xdr:row>10</xdr:row>
      <xdr:rowOff>155863</xdr:rowOff>
    </xdr:from>
    <xdr:to>
      <xdr:col>17</xdr:col>
      <xdr:colOff>500062</xdr:colOff>
      <xdr:row>48</xdr:row>
      <xdr:rowOff>51954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155864</xdr:colOff>
      <xdr:row>53</xdr:row>
      <xdr:rowOff>121227</xdr:rowOff>
    </xdr:from>
    <xdr:to>
      <xdr:col>17</xdr:col>
      <xdr:colOff>476250</xdr:colOff>
      <xdr:row>91</xdr:row>
      <xdr:rowOff>34637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155864</xdr:colOff>
      <xdr:row>96</xdr:row>
      <xdr:rowOff>155864</xdr:rowOff>
    </xdr:from>
    <xdr:to>
      <xdr:col>17</xdr:col>
      <xdr:colOff>476250</xdr:colOff>
      <xdr:row>134</xdr:row>
      <xdr:rowOff>69273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156883</xdr:colOff>
      <xdr:row>136</xdr:row>
      <xdr:rowOff>22413</xdr:rowOff>
    </xdr:from>
    <xdr:to>
      <xdr:col>3</xdr:col>
      <xdr:colOff>780337</xdr:colOff>
      <xdr:row>140</xdr:row>
      <xdr:rowOff>142157</xdr:rowOff>
    </xdr:to>
    <xdr:pic>
      <xdr:nvPicPr>
        <xdr:cNvPr id="6" name="Picture 3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1208" y="25939938"/>
          <a:ext cx="2280804" cy="881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589434</xdr:colOff>
      <xdr:row>135</xdr:row>
      <xdr:rowOff>81645</xdr:rowOff>
    </xdr:from>
    <xdr:to>
      <xdr:col>17</xdr:col>
      <xdr:colOff>456714</xdr:colOff>
      <xdr:row>141</xdr:row>
      <xdr:rowOff>2879</xdr:rowOff>
    </xdr:to>
    <xdr:pic>
      <xdr:nvPicPr>
        <xdr:cNvPr id="7" name="Picture 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1834" y="25808670"/>
          <a:ext cx="915030" cy="1053936"/>
        </a:xfrm>
        <a:prstGeom prst="rect">
          <a:avLst/>
        </a:prstGeom>
        <a:noFill/>
        <a:ln>
          <a:noFill/>
        </a:ln>
        <a:effectLst>
          <a:glow>
            <a:schemeClr val="accent3">
              <a:satMod val="175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112449</xdr:colOff>
      <xdr:row>0</xdr:row>
      <xdr:rowOff>58635</xdr:rowOff>
    </xdr:from>
    <xdr:to>
      <xdr:col>19</xdr:col>
      <xdr:colOff>2083190</xdr:colOff>
      <xdr:row>4</xdr:row>
      <xdr:rowOff>21318</xdr:rowOff>
    </xdr:to>
    <xdr:sp macro="[0]!RefreshData3" textlink="">
      <xdr:nvSpPr>
        <xdr:cNvPr id="2" name="Rounded Rectangle 1"/>
        <xdr:cNvSpPr/>
      </xdr:nvSpPr>
      <xdr:spPr>
        <a:xfrm>
          <a:off x="17466999" y="58635"/>
          <a:ext cx="1970741" cy="7246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800"/>
            <a:t>Atualizar Página</a:t>
          </a:r>
        </a:p>
      </xdr:txBody>
    </xdr:sp>
    <xdr:clientData/>
  </xdr:twoCellAnchor>
  <xdr:twoCellAnchor>
    <xdr:from>
      <xdr:col>1</xdr:col>
      <xdr:colOff>155863</xdr:colOff>
      <xdr:row>10</xdr:row>
      <xdr:rowOff>155863</xdr:rowOff>
    </xdr:from>
    <xdr:to>
      <xdr:col>17</xdr:col>
      <xdr:colOff>500062</xdr:colOff>
      <xdr:row>48</xdr:row>
      <xdr:rowOff>51954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155864</xdr:colOff>
      <xdr:row>53</xdr:row>
      <xdr:rowOff>121227</xdr:rowOff>
    </xdr:from>
    <xdr:to>
      <xdr:col>17</xdr:col>
      <xdr:colOff>476250</xdr:colOff>
      <xdr:row>91</xdr:row>
      <xdr:rowOff>34637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155864</xdr:colOff>
      <xdr:row>96</xdr:row>
      <xdr:rowOff>155864</xdr:rowOff>
    </xdr:from>
    <xdr:to>
      <xdr:col>17</xdr:col>
      <xdr:colOff>476250</xdr:colOff>
      <xdr:row>134</xdr:row>
      <xdr:rowOff>69273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156883</xdr:colOff>
      <xdr:row>136</xdr:row>
      <xdr:rowOff>22413</xdr:rowOff>
    </xdr:from>
    <xdr:to>
      <xdr:col>3</xdr:col>
      <xdr:colOff>780337</xdr:colOff>
      <xdr:row>140</xdr:row>
      <xdr:rowOff>142157</xdr:rowOff>
    </xdr:to>
    <xdr:pic>
      <xdr:nvPicPr>
        <xdr:cNvPr id="6" name="Picture 3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1208" y="25939938"/>
          <a:ext cx="2280804" cy="881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589434</xdr:colOff>
      <xdr:row>135</xdr:row>
      <xdr:rowOff>81645</xdr:rowOff>
    </xdr:from>
    <xdr:to>
      <xdr:col>17</xdr:col>
      <xdr:colOff>456714</xdr:colOff>
      <xdr:row>141</xdr:row>
      <xdr:rowOff>2879</xdr:rowOff>
    </xdr:to>
    <xdr:pic>
      <xdr:nvPicPr>
        <xdr:cNvPr id="7" name="Picture 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1834" y="25808670"/>
          <a:ext cx="915030" cy="1053936"/>
        </a:xfrm>
        <a:prstGeom prst="rect">
          <a:avLst/>
        </a:prstGeom>
        <a:noFill/>
        <a:ln>
          <a:noFill/>
        </a:ln>
        <a:effectLst>
          <a:glow>
            <a:schemeClr val="accent3">
              <a:satMod val="175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112449</xdr:colOff>
      <xdr:row>0</xdr:row>
      <xdr:rowOff>58635</xdr:rowOff>
    </xdr:from>
    <xdr:to>
      <xdr:col>19</xdr:col>
      <xdr:colOff>2083190</xdr:colOff>
      <xdr:row>4</xdr:row>
      <xdr:rowOff>21318</xdr:rowOff>
    </xdr:to>
    <xdr:sp macro="[0]!RefreshData3" textlink="">
      <xdr:nvSpPr>
        <xdr:cNvPr id="2" name="Rounded Rectangle 1"/>
        <xdr:cNvSpPr/>
      </xdr:nvSpPr>
      <xdr:spPr>
        <a:xfrm>
          <a:off x="17466999" y="58635"/>
          <a:ext cx="1970741" cy="7246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800"/>
            <a:t>Atualizar Página</a:t>
          </a:r>
        </a:p>
      </xdr:txBody>
    </xdr:sp>
    <xdr:clientData/>
  </xdr:twoCellAnchor>
  <xdr:twoCellAnchor>
    <xdr:from>
      <xdr:col>1</xdr:col>
      <xdr:colOff>155863</xdr:colOff>
      <xdr:row>10</xdr:row>
      <xdr:rowOff>155863</xdr:rowOff>
    </xdr:from>
    <xdr:to>
      <xdr:col>17</xdr:col>
      <xdr:colOff>500062</xdr:colOff>
      <xdr:row>48</xdr:row>
      <xdr:rowOff>51954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155864</xdr:colOff>
      <xdr:row>53</xdr:row>
      <xdr:rowOff>121227</xdr:rowOff>
    </xdr:from>
    <xdr:to>
      <xdr:col>17</xdr:col>
      <xdr:colOff>476250</xdr:colOff>
      <xdr:row>91</xdr:row>
      <xdr:rowOff>34637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155864</xdr:colOff>
      <xdr:row>96</xdr:row>
      <xdr:rowOff>155864</xdr:rowOff>
    </xdr:from>
    <xdr:to>
      <xdr:col>17</xdr:col>
      <xdr:colOff>476250</xdr:colOff>
      <xdr:row>134</xdr:row>
      <xdr:rowOff>69273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156883</xdr:colOff>
      <xdr:row>136</xdr:row>
      <xdr:rowOff>22413</xdr:rowOff>
    </xdr:from>
    <xdr:to>
      <xdr:col>3</xdr:col>
      <xdr:colOff>780337</xdr:colOff>
      <xdr:row>140</xdr:row>
      <xdr:rowOff>142157</xdr:rowOff>
    </xdr:to>
    <xdr:pic>
      <xdr:nvPicPr>
        <xdr:cNvPr id="6" name="Picture 3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1208" y="25939938"/>
          <a:ext cx="2280804" cy="881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589434</xdr:colOff>
      <xdr:row>135</xdr:row>
      <xdr:rowOff>81645</xdr:rowOff>
    </xdr:from>
    <xdr:to>
      <xdr:col>17</xdr:col>
      <xdr:colOff>456714</xdr:colOff>
      <xdr:row>141</xdr:row>
      <xdr:rowOff>2879</xdr:rowOff>
    </xdr:to>
    <xdr:pic>
      <xdr:nvPicPr>
        <xdr:cNvPr id="7" name="Picture 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1834" y="25808670"/>
          <a:ext cx="915030" cy="1053936"/>
        </a:xfrm>
        <a:prstGeom prst="rect">
          <a:avLst/>
        </a:prstGeom>
        <a:noFill/>
        <a:ln>
          <a:noFill/>
        </a:ln>
        <a:effectLst>
          <a:glow>
            <a:schemeClr val="accent3">
              <a:satMod val="175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112449</xdr:colOff>
      <xdr:row>0</xdr:row>
      <xdr:rowOff>58635</xdr:rowOff>
    </xdr:from>
    <xdr:to>
      <xdr:col>19</xdr:col>
      <xdr:colOff>2083190</xdr:colOff>
      <xdr:row>4</xdr:row>
      <xdr:rowOff>21318</xdr:rowOff>
    </xdr:to>
    <xdr:sp macro="[0]!RefreshData3" textlink="">
      <xdr:nvSpPr>
        <xdr:cNvPr id="2" name="Rounded Rectangle 1"/>
        <xdr:cNvSpPr/>
      </xdr:nvSpPr>
      <xdr:spPr>
        <a:xfrm>
          <a:off x="17466999" y="58635"/>
          <a:ext cx="1970741" cy="7246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800"/>
            <a:t>Atualizar Página</a:t>
          </a:r>
        </a:p>
      </xdr:txBody>
    </xdr:sp>
    <xdr:clientData/>
  </xdr:twoCellAnchor>
  <xdr:twoCellAnchor>
    <xdr:from>
      <xdr:col>1</xdr:col>
      <xdr:colOff>155863</xdr:colOff>
      <xdr:row>10</xdr:row>
      <xdr:rowOff>155863</xdr:rowOff>
    </xdr:from>
    <xdr:to>
      <xdr:col>17</xdr:col>
      <xdr:colOff>500062</xdr:colOff>
      <xdr:row>48</xdr:row>
      <xdr:rowOff>51954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155864</xdr:colOff>
      <xdr:row>53</xdr:row>
      <xdr:rowOff>121227</xdr:rowOff>
    </xdr:from>
    <xdr:to>
      <xdr:col>17</xdr:col>
      <xdr:colOff>476250</xdr:colOff>
      <xdr:row>91</xdr:row>
      <xdr:rowOff>34637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155864</xdr:colOff>
      <xdr:row>96</xdr:row>
      <xdr:rowOff>155864</xdr:rowOff>
    </xdr:from>
    <xdr:to>
      <xdr:col>17</xdr:col>
      <xdr:colOff>476250</xdr:colOff>
      <xdr:row>134</xdr:row>
      <xdr:rowOff>69273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156883</xdr:colOff>
      <xdr:row>136</xdr:row>
      <xdr:rowOff>22413</xdr:rowOff>
    </xdr:from>
    <xdr:to>
      <xdr:col>3</xdr:col>
      <xdr:colOff>780337</xdr:colOff>
      <xdr:row>140</xdr:row>
      <xdr:rowOff>142157</xdr:rowOff>
    </xdr:to>
    <xdr:pic>
      <xdr:nvPicPr>
        <xdr:cNvPr id="6" name="Picture 3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1208" y="25939938"/>
          <a:ext cx="2280804" cy="881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589434</xdr:colOff>
      <xdr:row>135</xdr:row>
      <xdr:rowOff>81645</xdr:rowOff>
    </xdr:from>
    <xdr:to>
      <xdr:col>17</xdr:col>
      <xdr:colOff>456714</xdr:colOff>
      <xdr:row>141</xdr:row>
      <xdr:rowOff>2879</xdr:rowOff>
    </xdr:to>
    <xdr:pic>
      <xdr:nvPicPr>
        <xdr:cNvPr id="7" name="Picture 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1834" y="25808670"/>
          <a:ext cx="915030" cy="1053936"/>
        </a:xfrm>
        <a:prstGeom prst="rect">
          <a:avLst/>
        </a:prstGeom>
        <a:noFill/>
        <a:ln>
          <a:noFill/>
        </a:ln>
        <a:effectLst>
          <a:glow>
            <a:schemeClr val="accent3">
              <a:satMod val="175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112449</xdr:colOff>
      <xdr:row>0</xdr:row>
      <xdr:rowOff>58635</xdr:rowOff>
    </xdr:from>
    <xdr:to>
      <xdr:col>19</xdr:col>
      <xdr:colOff>2083190</xdr:colOff>
      <xdr:row>4</xdr:row>
      <xdr:rowOff>21318</xdr:rowOff>
    </xdr:to>
    <xdr:sp macro="[0]!RefreshData3" textlink="">
      <xdr:nvSpPr>
        <xdr:cNvPr id="2" name="Rounded Rectangle 1"/>
        <xdr:cNvSpPr/>
      </xdr:nvSpPr>
      <xdr:spPr>
        <a:xfrm>
          <a:off x="17466999" y="58635"/>
          <a:ext cx="1970741" cy="7246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800"/>
            <a:t>Atualizar Página</a:t>
          </a:r>
        </a:p>
      </xdr:txBody>
    </xdr:sp>
    <xdr:clientData/>
  </xdr:twoCellAnchor>
  <xdr:twoCellAnchor>
    <xdr:from>
      <xdr:col>1</xdr:col>
      <xdr:colOff>155863</xdr:colOff>
      <xdr:row>10</xdr:row>
      <xdr:rowOff>155863</xdr:rowOff>
    </xdr:from>
    <xdr:to>
      <xdr:col>17</xdr:col>
      <xdr:colOff>500062</xdr:colOff>
      <xdr:row>48</xdr:row>
      <xdr:rowOff>51954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155864</xdr:colOff>
      <xdr:row>53</xdr:row>
      <xdr:rowOff>121227</xdr:rowOff>
    </xdr:from>
    <xdr:to>
      <xdr:col>17</xdr:col>
      <xdr:colOff>476250</xdr:colOff>
      <xdr:row>91</xdr:row>
      <xdr:rowOff>34637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155864</xdr:colOff>
      <xdr:row>96</xdr:row>
      <xdr:rowOff>155864</xdr:rowOff>
    </xdr:from>
    <xdr:to>
      <xdr:col>17</xdr:col>
      <xdr:colOff>476250</xdr:colOff>
      <xdr:row>134</xdr:row>
      <xdr:rowOff>69273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156883</xdr:colOff>
      <xdr:row>136</xdr:row>
      <xdr:rowOff>22413</xdr:rowOff>
    </xdr:from>
    <xdr:to>
      <xdr:col>3</xdr:col>
      <xdr:colOff>780337</xdr:colOff>
      <xdr:row>140</xdr:row>
      <xdr:rowOff>142157</xdr:rowOff>
    </xdr:to>
    <xdr:pic>
      <xdr:nvPicPr>
        <xdr:cNvPr id="6" name="Picture 3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1208" y="25939938"/>
          <a:ext cx="2280804" cy="881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589434</xdr:colOff>
      <xdr:row>135</xdr:row>
      <xdr:rowOff>81645</xdr:rowOff>
    </xdr:from>
    <xdr:to>
      <xdr:col>17</xdr:col>
      <xdr:colOff>456714</xdr:colOff>
      <xdr:row>141</xdr:row>
      <xdr:rowOff>2879</xdr:rowOff>
    </xdr:to>
    <xdr:pic>
      <xdr:nvPicPr>
        <xdr:cNvPr id="7" name="Picture 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1834" y="25808670"/>
          <a:ext cx="915030" cy="1053936"/>
        </a:xfrm>
        <a:prstGeom prst="rect">
          <a:avLst/>
        </a:prstGeom>
        <a:noFill/>
        <a:ln>
          <a:noFill/>
        </a:ln>
        <a:effectLst>
          <a:glow>
            <a:schemeClr val="accent3">
              <a:satMod val="175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112449</xdr:colOff>
      <xdr:row>0</xdr:row>
      <xdr:rowOff>58635</xdr:rowOff>
    </xdr:from>
    <xdr:to>
      <xdr:col>19</xdr:col>
      <xdr:colOff>2083190</xdr:colOff>
      <xdr:row>4</xdr:row>
      <xdr:rowOff>21318</xdr:rowOff>
    </xdr:to>
    <xdr:sp macro="[0]!RefreshData3" textlink="">
      <xdr:nvSpPr>
        <xdr:cNvPr id="2" name="Rounded Rectangle 1"/>
        <xdr:cNvSpPr/>
      </xdr:nvSpPr>
      <xdr:spPr>
        <a:xfrm>
          <a:off x="17466999" y="58635"/>
          <a:ext cx="1970741" cy="7246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800"/>
            <a:t>Atualizar Página</a:t>
          </a:r>
        </a:p>
      </xdr:txBody>
    </xdr:sp>
    <xdr:clientData/>
  </xdr:twoCellAnchor>
  <xdr:twoCellAnchor>
    <xdr:from>
      <xdr:col>1</xdr:col>
      <xdr:colOff>155863</xdr:colOff>
      <xdr:row>10</xdr:row>
      <xdr:rowOff>155863</xdr:rowOff>
    </xdr:from>
    <xdr:to>
      <xdr:col>17</xdr:col>
      <xdr:colOff>500062</xdr:colOff>
      <xdr:row>48</xdr:row>
      <xdr:rowOff>51954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155864</xdr:colOff>
      <xdr:row>53</xdr:row>
      <xdr:rowOff>121227</xdr:rowOff>
    </xdr:from>
    <xdr:to>
      <xdr:col>17</xdr:col>
      <xdr:colOff>476250</xdr:colOff>
      <xdr:row>91</xdr:row>
      <xdr:rowOff>34637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155864</xdr:colOff>
      <xdr:row>96</xdr:row>
      <xdr:rowOff>155864</xdr:rowOff>
    </xdr:from>
    <xdr:to>
      <xdr:col>17</xdr:col>
      <xdr:colOff>476250</xdr:colOff>
      <xdr:row>134</xdr:row>
      <xdr:rowOff>69273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156883</xdr:colOff>
      <xdr:row>136</xdr:row>
      <xdr:rowOff>22413</xdr:rowOff>
    </xdr:from>
    <xdr:to>
      <xdr:col>3</xdr:col>
      <xdr:colOff>780337</xdr:colOff>
      <xdr:row>140</xdr:row>
      <xdr:rowOff>142157</xdr:rowOff>
    </xdr:to>
    <xdr:pic>
      <xdr:nvPicPr>
        <xdr:cNvPr id="6" name="Picture 3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1208" y="25939938"/>
          <a:ext cx="2280804" cy="881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589434</xdr:colOff>
      <xdr:row>135</xdr:row>
      <xdr:rowOff>81645</xdr:rowOff>
    </xdr:from>
    <xdr:to>
      <xdr:col>17</xdr:col>
      <xdr:colOff>456714</xdr:colOff>
      <xdr:row>141</xdr:row>
      <xdr:rowOff>2879</xdr:rowOff>
    </xdr:to>
    <xdr:pic>
      <xdr:nvPicPr>
        <xdr:cNvPr id="7" name="Picture 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1834" y="25808670"/>
          <a:ext cx="915030" cy="1053936"/>
        </a:xfrm>
        <a:prstGeom prst="rect">
          <a:avLst/>
        </a:prstGeom>
        <a:noFill/>
        <a:ln>
          <a:noFill/>
        </a:ln>
        <a:effectLst>
          <a:glow>
            <a:schemeClr val="accent3">
              <a:satMod val="175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112449</xdr:colOff>
      <xdr:row>0</xdr:row>
      <xdr:rowOff>58635</xdr:rowOff>
    </xdr:from>
    <xdr:to>
      <xdr:col>19</xdr:col>
      <xdr:colOff>2083190</xdr:colOff>
      <xdr:row>4</xdr:row>
      <xdr:rowOff>21318</xdr:rowOff>
    </xdr:to>
    <xdr:sp macro="[0]!RefreshData3" textlink="">
      <xdr:nvSpPr>
        <xdr:cNvPr id="2" name="Rounded Rectangle 1"/>
        <xdr:cNvSpPr/>
      </xdr:nvSpPr>
      <xdr:spPr>
        <a:xfrm>
          <a:off x="17466999" y="58635"/>
          <a:ext cx="1970741" cy="7246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800"/>
            <a:t>Atualizar Página</a:t>
          </a:r>
        </a:p>
      </xdr:txBody>
    </xdr:sp>
    <xdr:clientData/>
  </xdr:twoCellAnchor>
  <xdr:twoCellAnchor>
    <xdr:from>
      <xdr:col>1</xdr:col>
      <xdr:colOff>155863</xdr:colOff>
      <xdr:row>10</xdr:row>
      <xdr:rowOff>155863</xdr:rowOff>
    </xdr:from>
    <xdr:to>
      <xdr:col>17</xdr:col>
      <xdr:colOff>500062</xdr:colOff>
      <xdr:row>48</xdr:row>
      <xdr:rowOff>51954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155864</xdr:colOff>
      <xdr:row>53</xdr:row>
      <xdr:rowOff>121227</xdr:rowOff>
    </xdr:from>
    <xdr:to>
      <xdr:col>17</xdr:col>
      <xdr:colOff>476250</xdr:colOff>
      <xdr:row>91</xdr:row>
      <xdr:rowOff>34637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155864</xdr:colOff>
      <xdr:row>96</xdr:row>
      <xdr:rowOff>155864</xdr:rowOff>
    </xdr:from>
    <xdr:to>
      <xdr:col>17</xdr:col>
      <xdr:colOff>476250</xdr:colOff>
      <xdr:row>134</xdr:row>
      <xdr:rowOff>69273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156883</xdr:colOff>
      <xdr:row>136</xdr:row>
      <xdr:rowOff>22413</xdr:rowOff>
    </xdr:from>
    <xdr:to>
      <xdr:col>3</xdr:col>
      <xdr:colOff>780337</xdr:colOff>
      <xdr:row>140</xdr:row>
      <xdr:rowOff>142157</xdr:rowOff>
    </xdr:to>
    <xdr:pic>
      <xdr:nvPicPr>
        <xdr:cNvPr id="6" name="Picture 3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1208" y="25939938"/>
          <a:ext cx="2280804" cy="881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589434</xdr:colOff>
      <xdr:row>135</xdr:row>
      <xdr:rowOff>81645</xdr:rowOff>
    </xdr:from>
    <xdr:to>
      <xdr:col>17</xdr:col>
      <xdr:colOff>456714</xdr:colOff>
      <xdr:row>141</xdr:row>
      <xdr:rowOff>2879</xdr:rowOff>
    </xdr:to>
    <xdr:pic>
      <xdr:nvPicPr>
        <xdr:cNvPr id="7" name="Picture 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1834" y="25808670"/>
          <a:ext cx="915030" cy="1053936"/>
        </a:xfrm>
        <a:prstGeom prst="rect">
          <a:avLst/>
        </a:prstGeom>
        <a:noFill/>
        <a:ln>
          <a:noFill/>
        </a:ln>
        <a:effectLst>
          <a:glow>
            <a:schemeClr val="accent3">
              <a:satMod val="175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112449</xdr:colOff>
      <xdr:row>0</xdr:row>
      <xdr:rowOff>58635</xdr:rowOff>
    </xdr:from>
    <xdr:to>
      <xdr:col>19</xdr:col>
      <xdr:colOff>2083190</xdr:colOff>
      <xdr:row>4</xdr:row>
      <xdr:rowOff>21318</xdr:rowOff>
    </xdr:to>
    <xdr:sp macro="[0]!RefreshData3" textlink="">
      <xdr:nvSpPr>
        <xdr:cNvPr id="2" name="Rounded Rectangle 1"/>
        <xdr:cNvSpPr/>
      </xdr:nvSpPr>
      <xdr:spPr>
        <a:xfrm>
          <a:off x="17466999" y="58635"/>
          <a:ext cx="1970741" cy="7246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800"/>
            <a:t>Atualizar Página</a:t>
          </a:r>
        </a:p>
      </xdr:txBody>
    </xdr:sp>
    <xdr:clientData/>
  </xdr:twoCellAnchor>
  <xdr:twoCellAnchor>
    <xdr:from>
      <xdr:col>1</xdr:col>
      <xdr:colOff>155863</xdr:colOff>
      <xdr:row>10</xdr:row>
      <xdr:rowOff>155863</xdr:rowOff>
    </xdr:from>
    <xdr:to>
      <xdr:col>17</xdr:col>
      <xdr:colOff>500062</xdr:colOff>
      <xdr:row>48</xdr:row>
      <xdr:rowOff>51954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155864</xdr:colOff>
      <xdr:row>53</xdr:row>
      <xdr:rowOff>121227</xdr:rowOff>
    </xdr:from>
    <xdr:to>
      <xdr:col>17</xdr:col>
      <xdr:colOff>476250</xdr:colOff>
      <xdr:row>91</xdr:row>
      <xdr:rowOff>34637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155864</xdr:colOff>
      <xdr:row>96</xdr:row>
      <xdr:rowOff>155864</xdr:rowOff>
    </xdr:from>
    <xdr:to>
      <xdr:col>17</xdr:col>
      <xdr:colOff>476250</xdr:colOff>
      <xdr:row>134</xdr:row>
      <xdr:rowOff>69273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156883</xdr:colOff>
      <xdr:row>136</xdr:row>
      <xdr:rowOff>22413</xdr:rowOff>
    </xdr:from>
    <xdr:to>
      <xdr:col>3</xdr:col>
      <xdr:colOff>780337</xdr:colOff>
      <xdr:row>140</xdr:row>
      <xdr:rowOff>142157</xdr:rowOff>
    </xdr:to>
    <xdr:pic>
      <xdr:nvPicPr>
        <xdr:cNvPr id="6" name="Picture 3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1208" y="25939938"/>
          <a:ext cx="2280804" cy="881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589434</xdr:colOff>
      <xdr:row>135</xdr:row>
      <xdr:rowOff>81645</xdr:rowOff>
    </xdr:from>
    <xdr:to>
      <xdr:col>17</xdr:col>
      <xdr:colOff>456714</xdr:colOff>
      <xdr:row>141</xdr:row>
      <xdr:rowOff>2879</xdr:rowOff>
    </xdr:to>
    <xdr:pic>
      <xdr:nvPicPr>
        <xdr:cNvPr id="7" name="Picture 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1834" y="25808670"/>
          <a:ext cx="915030" cy="1053936"/>
        </a:xfrm>
        <a:prstGeom prst="rect">
          <a:avLst/>
        </a:prstGeom>
        <a:noFill/>
        <a:ln>
          <a:noFill/>
        </a:ln>
        <a:effectLst>
          <a:glow>
            <a:schemeClr val="accent3">
              <a:satMod val="175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112449</xdr:colOff>
      <xdr:row>0</xdr:row>
      <xdr:rowOff>58635</xdr:rowOff>
    </xdr:from>
    <xdr:to>
      <xdr:col>19</xdr:col>
      <xdr:colOff>2083190</xdr:colOff>
      <xdr:row>4</xdr:row>
      <xdr:rowOff>21318</xdr:rowOff>
    </xdr:to>
    <xdr:sp macro="[0]!RefreshData3" textlink="">
      <xdr:nvSpPr>
        <xdr:cNvPr id="2" name="Rounded Rectangle 1"/>
        <xdr:cNvSpPr/>
      </xdr:nvSpPr>
      <xdr:spPr>
        <a:xfrm>
          <a:off x="17466999" y="58635"/>
          <a:ext cx="1970741" cy="7246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800"/>
            <a:t>Atualizar Página</a:t>
          </a:r>
        </a:p>
      </xdr:txBody>
    </xdr:sp>
    <xdr:clientData/>
  </xdr:twoCellAnchor>
  <xdr:twoCellAnchor>
    <xdr:from>
      <xdr:col>1</xdr:col>
      <xdr:colOff>155863</xdr:colOff>
      <xdr:row>10</xdr:row>
      <xdr:rowOff>155863</xdr:rowOff>
    </xdr:from>
    <xdr:to>
      <xdr:col>17</xdr:col>
      <xdr:colOff>500062</xdr:colOff>
      <xdr:row>48</xdr:row>
      <xdr:rowOff>51954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155864</xdr:colOff>
      <xdr:row>53</xdr:row>
      <xdr:rowOff>121227</xdr:rowOff>
    </xdr:from>
    <xdr:to>
      <xdr:col>17</xdr:col>
      <xdr:colOff>476250</xdr:colOff>
      <xdr:row>91</xdr:row>
      <xdr:rowOff>34637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155864</xdr:colOff>
      <xdr:row>96</xdr:row>
      <xdr:rowOff>155864</xdr:rowOff>
    </xdr:from>
    <xdr:to>
      <xdr:col>17</xdr:col>
      <xdr:colOff>476250</xdr:colOff>
      <xdr:row>134</xdr:row>
      <xdr:rowOff>69273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156883</xdr:colOff>
      <xdr:row>136</xdr:row>
      <xdr:rowOff>22413</xdr:rowOff>
    </xdr:from>
    <xdr:to>
      <xdr:col>3</xdr:col>
      <xdr:colOff>780337</xdr:colOff>
      <xdr:row>140</xdr:row>
      <xdr:rowOff>142157</xdr:rowOff>
    </xdr:to>
    <xdr:pic>
      <xdr:nvPicPr>
        <xdr:cNvPr id="6" name="Picture 3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1208" y="25939938"/>
          <a:ext cx="2280804" cy="881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589434</xdr:colOff>
      <xdr:row>135</xdr:row>
      <xdr:rowOff>81645</xdr:rowOff>
    </xdr:from>
    <xdr:to>
      <xdr:col>17</xdr:col>
      <xdr:colOff>456714</xdr:colOff>
      <xdr:row>141</xdr:row>
      <xdr:rowOff>2879</xdr:rowOff>
    </xdr:to>
    <xdr:pic>
      <xdr:nvPicPr>
        <xdr:cNvPr id="7" name="Picture 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1834" y="25808670"/>
          <a:ext cx="915030" cy="1053936"/>
        </a:xfrm>
        <a:prstGeom prst="rect">
          <a:avLst/>
        </a:prstGeom>
        <a:noFill/>
        <a:ln>
          <a:noFill/>
        </a:ln>
        <a:effectLst>
          <a:glow>
            <a:schemeClr val="accent3">
              <a:satMod val="175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112449</xdr:colOff>
      <xdr:row>0</xdr:row>
      <xdr:rowOff>58635</xdr:rowOff>
    </xdr:from>
    <xdr:to>
      <xdr:col>19</xdr:col>
      <xdr:colOff>2083190</xdr:colOff>
      <xdr:row>4</xdr:row>
      <xdr:rowOff>21318</xdr:rowOff>
    </xdr:to>
    <xdr:sp macro="[0]!RefreshData3" textlink="">
      <xdr:nvSpPr>
        <xdr:cNvPr id="2" name="Rounded Rectangle 1"/>
        <xdr:cNvSpPr/>
      </xdr:nvSpPr>
      <xdr:spPr>
        <a:xfrm>
          <a:off x="17466999" y="58635"/>
          <a:ext cx="1970741" cy="7246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800"/>
            <a:t>Atualizar Página</a:t>
          </a:r>
        </a:p>
      </xdr:txBody>
    </xdr:sp>
    <xdr:clientData/>
  </xdr:twoCellAnchor>
  <xdr:twoCellAnchor>
    <xdr:from>
      <xdr:col>1</xdr:col>
      <xdr:colOff>155863</xdr:colOff>
      <xdr:row>10</xdr:row>
      <xdr:rowOff>155863</xdr:rowOff>
    </xdr:from>
    <xdr:to>
      <xdr:col>17</xdr:col>
      <xdr:colOff>500062</xdr:colOff>
      <xdr:row>48</xdr:row>
      <xdr:rowOff>51954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155864</xdr:colOff>
      <xdr:row>53</xdr:row>
      <xdr:rowOff>121227</xdr:rowOff>
    </xdr:from>
    <xdr:to>
      <xdr:col>17</xdr:col>
      <xdr:colOff>476250</xdr:colOff>
      <xdr:row>91</xdr:row>
      <xdr:rowOff>34637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155864</xdr:colOff>
      <xdr:row>96</xdr:row>
      <xdr:rowOff>155864</xdr:rowOff>
    </xdr:from>
    <xdr:to>
      <xdr:col>17</xdr:col>
      <xdr:colOff>476250</xdr:colOff>
      <xdr:row>134</xdr:row>
      <xdr:rowOff>69273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156883</xdr:colOff>
      <xdr:row>136</xdr:row>
      <xdr:rowOff>22413</xdr:rowOff>
    </xdr:from>
    <xdr:to>
      <xdr:col>3</xdr:col>
      <xdr:colOff>780337</xdr:colOff>
      <xdr:row>140</xdr:row>
      <xdr:rowOff>142157</xdr:rowOff>
    </xdr:to>
    <xdr:pic>
      <xdr:nvPicPr>
        <xdr:cNvPr id="6" name="Picture 3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1208" y="25939938"/>
          <a:ext cx="2280804" cy="881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589434</xdr:colOff>
      <xdr:row>135</xdr:row>
      <xdr:rowOff>81645</xdr:rowOff>
    </xdr:from>
    <xdr:to>
      <xdr:col>17</xdr:col>
      <xdr:colOff>456714</xdr:colOff>
      <xdr:row>141</xdr:row>
      <xdr:rowOff>2879</xdr:rowOff>
    </xdr:to>
    <xdr:pic>
      <xdr:nvPicPr>
        <xdr:cNvPr id="7" name="Picture 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1834" y="25808670"/>
          <a:ext cx="915030" cy="1053936"/>
        </a:xfrm>
        <a:prstGeom prst="rect">
          <a:avLst/>
        </a:prstGeom>
        <a:noFill/>
        <a:ln>
          <a:noFill/>
        </a:ln>
        <a:effectLst>
          <a:glow>
            <a:schemeClr val="accent3">
              <a:satMod val="175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112449</xdr:colOff>
      <xdr:row>0</xdr:row>
      <xdr:rowOff>58635</xdr:rowOff>
    </xdr:from>
    <xdr:to>
      <xdr:col>19</xdr:col>
      <xdr:colOff>2083190</xdr:colOff>
      <xdr:row>4</xdr:row>
      <xdr:rowOff>21318</xdr:rowOff>
    </xdr:to>
    <xdr:sp macro="[0]!RefreshData3" textlink="">
      <xdr:nvSpPr>
        <xdr:cNvPr id="2" name="Rounded Rectangle 1"/>
        <xdr:cNvSpPr/>
      </xdr:nvSpPr>
      <xdr:spPr>
        <a:xfrm>
          <a:off x="17466999" y="58635"/>
          <a:ext cx="1970741" cy="7246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800"/>
            <a:t>Atualizar Página</a:t>
          </a:r>
        </a:p>
      </xdr:txBody>
    </xdr:sp>
    <xdr:clientData/>
  </xdr:twoCellAnchor>
  <xdr:twoCellAnchor>
    <xdr:from>
      <xdr:col>1</xdr:col>
      <xdr:colOff>155863</xdr:colOff>
      <xdr:row>10</xdr:row>
      <xdr:rowOff>155863</xdr:rowOff>
    </xdr:from>
    <xdr:to>
      <xdr:col>17</xdr:col>
      <xdr:colOff>500062</xdr:colOff>
      <xdr:row>48</xdr:row>
      <xdr:rowOff>51954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155864</xdr:colOff>
      <xdr:row>53</xdr:row>
      <xdr:rowOff>121227</xdr:rowOff>
    </xdr:from>
    <xdr:to>
      <xdr:col>17</xdr:col>
      <xdr:colOff>476250</xdr:colOff>
      <xdr:row>91</xdr:row>
      <xdr:rowOff>34637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155864</xdr:colOff>
      <xdr:row>96</xdr:row>
      <xdr:rowOff>155864</xdr:rowOff>
    </xdr:from>
    <xdr:to>
      <xdr:col>17</xdr:col>
      <xdr:colOff>476250</xdr:colOff>
      <xdr:row>134</xdr:row>
      <xdr:rowOff>69273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156883</xdr:colOff>
      <xdr:row>136</xdr:row>
      <xdr:rowOff>22413</xdr:rowOff>
    </xdr:from>
    <xdr:to>
      <xdr:col>3</xdr:col>
      <xdr:colOff>780337</xdr:colOff>
      <xdr:row>140</xdr:row>
      <xdr:rowOff>142157</xdr:rowOff>
    </xdr:to>
    <xdr:pic>
      <xdr:nvPicPr>
        <xdr:cNvPr id="6" name="Picture 3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1208" y="25939938"/>
          <a:ext cx="2280804" cy="881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589434</xdr:colOff>
      <xdr:row>135</xdr:row>
      <xdr:rowOff>81645</xdr:rowOff>
    </xdr:from>
    <xdr:to>
      <xdr:col>17</xdr:col>
      <xdr:colOff>456714</xdr:colOff>
      <xdr:row>141</xdr:row>
      <xdr:rowOff>2879</xdr:rowOff>
    </xdr:to>
    <xdr:pic>
      <xdr:nvPicPr>
        <xdr:cNvPr id="7" name="Picture 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1834" y="25808670"/>
          <a:ext cx="915030" cy="1053936"/>
        </a:xfrm>
        <a:prstGeom prst="rect">
          <a:avLst/>
        </a:prstGeom>
        <a:noFill/>
        <a:ln>
          <a:noFill/>
        </a:ln>
        <a:effectLst>
          <a:glow>
            <a:schemeClr val="accent3">
              <a:satMod val="175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112449</xdr:colOff>
      <xdr:row>0</xdr:row>
      <xdr:rowOff>58635</xdr:rowOff>
    </xdr:from>
    <xdr:to>
      <xdr:col>19</xdr:col>
      <xdr:colOff>2083190</xdr:colOff>
      <xdr:row>4</xdr:row>
      <xdr:rowOff>21318</xdr:rowOff>
    </xdr:to>
    <xdr:sp macro="[0]!RefreshData3" textlink="">
      <xdr:nvSpPr>
        <xdr:cNvPr id="2" name="Rounded Rectangle 1"/>
        <xdr:cNvSpPr/>
      </xdr:nvSpPr>
      <xdr:spPr>
        <a:xfrm>
          <a:off x="17466999" y="58635"/>
          <a:ext cx="1970741" cy="7246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800"/>
            <a:t>Atualizar Página</a:t>
          </a:r>
        </a:p>
      </xdr:txBody>
    </xdr:sp>
    <xdr:clientData/>
  </xdr:twoCellAnchor>
  <xdr:twoCellAnchor>
    <xdr:from>
      <xdr:col>1</xdr:col>
      <xdr:colOff>155863</xdr:colOff>
      <xdr:row>10</xdr:row>
      <xdr:rowOff>155863</xdr:rowOff>
    </xdr:from>
    <xdr:to>
      <xdr:col>17</xdr:col>
      <xdr:colOff>500062</xdr:colOff>
      <xdr:row>48</xdr:row>
      <xdr:rowOff>51954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155864</xdr:colOff>
      <xdr:row>53</xdr:row>
      <xdr:rowOff>121227</xdr:rowOff>
    </xdr:from>
    <xdr:to>
      <xdr:col>17</xdr:col>
      <xdr:colOff>476250</xdr:colOff>
      <xdr:row>91</xdr:row>
      <xdr:rowOff>34637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155864</xdr:colOff>
      <xdr:row>96</xdr:row>
      <xdr:rowOff>155864</xdr:rowOff>
    </xdr:from>
    <xdr:to>
      <xdr:col>17</xdr:col>
      <xdr:colOff>476250</xdr:colOff>
      <xdr:row>134</xdr:row>
      <xdr:rowOff>69273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156883</xdr:colOff>
      <xdr:row>136</xdr:row>
      <xdr:rowOff>22413</xdr:rowOff>
    </xdr:from>
    <xdr:to>
      <xdr:col>3</xdr:col>
      <xdr:colOff>780337</xdr:colOff>
      <xdr:row>140</xdr:row>
      <xdr:rowOff>142157</xdr:rowOff>
    </xdr:to>
    <xdr:pic>
      <xdr:nvPicPr>
        <xdr:cNvPr id="6" name="Picture 3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1208" y="25939938"/>
          <a:ext cx="2280804" cy="881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589434</xdr:colOff>
      <xdr:row>135</xdr:row>
      <xdr:rowOff>81645</xdr:rowOff>
    </xdr:from>
    <xdr:to>
      <xdr:col>17</xdr:col>
      <xdr:colOff>456714</xdr:colOff>
      <xdr:row>141</xdr:row>
      <xdr:rowOff>2879</xdr:rowOff>
    </xdr:to>
    <xdr:pic>
      <xdr:nvPicPr>
        <xdr:cNvPr id="7" name="Picture 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1834" y="25808670"/>
          <a:ext cx="915030" cy="1053936"/>
        </a:xfrm>
        <a:prstGeom prst="rect">
          <a:avLst/>
        </a:prstGeom>
        <a:noFill/>
        <a:ln>
          <a:noFill/>
        </a:ln>
        <a:effectLst>
          <a:glow>
            <a:schemeClr val="accent3">
              <a:satMod val="175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112449</xdr:colOff>
      <xdr:row>0</xdr:row>
      <xdr:rowOff>58635</xdr:rowOff>
    </xdr:from>
    <xdr:to>
      <xdr:col>19</xdr:col>
      <xdr:colOff>2083190</xdr:colOff>
      <xdr:row>4</xdr:row>
      <xdr:rowOff>21318</xdr:rowOff>
    </xdr:to>
    <xdr:sp macro="[0]!RefreshData3" textlink="">
      <xdr:nvSpPr>
        <xdr:cNvPr id="2" name="Rounded Rectangle 1"/>
        <xdr:cNvSpPr/>
      </xdr:nvSpPr>
      <xdr:spPr>
        <a:xfrm>
          <a:off x="17466999" y="58635"/>
          <a:ext cx="1970741" cy="7246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800"/>
            <a:t>Atualizar Página</a:t>
          </a:r>
        </a:p>
      </xdr:txBody>
    </xdr:sp>
    <xdr:clientData/>
  </xdr:twoCellAnchor>
  <xdr:twoCellAnchor>
    <xdr:from>
      <xdr:col>1</xdr:col>
      <xdr:colOff>155863</xdr:colOff>
      <xdr:row>10</xdr:row>
      <xdr:rowOff>155863</xdr:rowOff>
    </xdr:from>
    <xdr:to>
      <xdr:col>17</xdr:col>
      <xdr:colOff>500062</xdr:colOff>
      <xdr:row>48</xdr:row>
      <xdr:rowOff>51954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155864</xdr:colOff>
      <xdr:row>53</xdr:row>
      <xdr:rowOff>121227</xdr:rowOff>
    </xdr:from>
    <xdr:to>
      <xdr:col>17</xdr:col>
      <xdr:colOff>476250</xdr:colOff>
      <xdr:row>91</xdr:row>
      <xdr:rowOff>34637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155864</xdr:colOff>
      <xdr:row>96</xdr:row>
      <xdr:rowOff>155864</xdr:rowOff>
    </xdr:from>
    <xdr:to>
      <xdr:col>17</xdr:col>
      <xdr:colOff>476250</xdr:colOff>
      <xdr:row>134</xdr:row>
      <xdr:rowOff>69273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156883</xdr:colOff>
      <xdr:row>136</xdr:row>
      <xdr:rowOff>22413</xdr:rowOff>
    </xdr:from>
    <xdr:to>
      <xdr:col>3</xdr:col>
      <xdr:colOff>780337</xdr:colOff>
      <xdr:row>140</xdr:row>
      <xdr:rowOff>142157</xdr:rowOff>
    </xdr:to>
    <xdr:pic>
      <xdr:nvPicPr>
        <xdr:cNvPr id="6" name="Picture 3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1208" y="25939938"/>
          <a:ext cx="2280804" cy="881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589434</xdr:colOff>
      <xdr:row>135</xdr:row>
      <xdr:rowOff>81645</xdr:rowOff>
    </xdr:from>
    <xdr:to>
      <xdr:col>17</xdr:col>
      <xdr:colOff>456714</xdr:colOff>
      <xdr:row>141</xdr:row>
      <xdr:rowOff>2879</xdr:rowOff>
    </xdr:to>
    <xdr:pic>
      <xdr:nvPicPr>
        <xdr:cNvPr id="7" name="Picture 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1834" y="25808670"/>
          <a:ext cx="915030" cy="1053936"/>
        </a:xfrm>
        <a:prstGeom prst="rect">
          <a:avLst/>
        </a:prstGeom>
        <a:noFill/>
        <a:ln>
          <a:noFill/>
        </a:ln>
        <a:effectLst>
          <a:glow>
            <a:schemeClr val="accent3">
              <a:satMod val="175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112449</xdr:colOff>
      <xdr:row>0</xdr:row>
      <xdr:rowOff>58635</xdr:rowOff>
    </xdr:from>
    <xdr:to>
      <xdr:col>19</xdr:col>
      <xdr:colOff>2083190</xdr:colOff>
      <xdr:row>4</xdr:row>
      <xdr:rowOff>21318</xdr:rowOff>
    </xdr:to>
    <xdr:sp macro="[0]!RefreshData3" textlink="">
      <xdr:nvSpPr>
        <xdr:cNvPr id="2" name="Rounded Rectangle 1"/>
        <xdr:cNvSpPr/>
      </xdr:nvSpPr>
      <xdr:spPr>
        <a:xfrm>
          <a:off x="17466999" y="58635"/>
          <a:ext cx="1970741" cy="7246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800"/>
            <a:t>Atualizar Página</a:t>
          </a:r>
        </a:p>
      </xdr:txBody>
    </xdr:sp>
    <xdr:clientData/>
  </xdr:twoCellAnchor>
  <xdr:twoCellAnchor>
    <xdr:from>
      <xdr:col>1</xdr:col>
      <xdr:colOff>155863</xdr:colOff>
      <xdr:row>10</xdr:row>
      <xdr:rowOff>155863</xdr:rowOff>
    </xdr:from>
    <xdr:to>
      <xdr:col>17</xdr:col>
      <xdr:colOff>500062</xdr:colOff>
      <xdr:row>48</xdr:row>
      <xdr:rowOff>51954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155864</xdr:colOff>
      <xdr:row>53</xdr:row>
      <xdr:rowOff>121227</xdr:rowOff>
    </xdr:from>
    <xdr:to>
      <xdr:col>17</xdr:col>
      <xdr:colOff>476250</xdr:colOff>
      <xdr:row>91</xdr:row>
      <xdr:rowOff>34637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155864</xdr:colOff>
      <xdr:row>96</xdr:row>
      <xdr:rowOff>155864</xdr:rowOff>
    </xdr:from>
    <xdr:to>
      <xdr:col>17</xdr:col>
      <xdr:colOff>476250</xdr:colOff>
      <xdr:row>134</xdr:row>
      <xdr:rowOff>69273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156883</xdr:colOff>
      <xdr:row>136</xdr:row>
      <xdr:rowOff>22413</xdr:rowOff>
    </xdr:from>
    <xdr:to>
      <xdr:col>3</xdr:col>
      <xdr:colOff>780337</xdr:colOff>
      <xdr:row>140</xdr:row>
      <xdr:rowOff>142157</xdr:rowOff>
    </xdr:to>
    <xdr:pic>
      <xdr:nvPicPr>
        <xdr:cNvPr id="6" name="Picture 3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1208" y="25939938"/>
          <a:ext cx="2280804" cy="881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589434</xdr:colOff>
      <xdr:row>135</xdr:row>
      <xdr:rowOff>81645</xdr:rowOff>
    </xdr:from>
    <xdr:to>
      <xdr:col>17</xdr:col>
      <xdr:colOff>456714</xdr:colOff>
      <xdr:row>141</xdr:row>
      <xdr:rowOff>2879</xdr:rowOff>
    </xdr:to>
    <xdr:pic>
      <xdr:nvPicPr>
        <xdr:cNvPr id="7" name="Picture 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1834" y="25808670"/>
          <a:ext cx="915030" cy="1053936"/>
        </a:xfrm>
        <a:prstGeom prst="rect">
          <a:avLst/>
        </a:prstGeom>
        <a:noFill/>
        <a:ln>
          <a:noFill/>
        </a:ln>
        <a:effectLst>
          <a:glow>
            <a:schemeClr val="accent3">
              <a:satMod val="175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112449</xdr:colOff>
      <xdr:row>0</xdr:row>
      <xdr:rowOff>58635</xdr:rowOff>
    </xdr:from>
    <xdr:to>
      <xdr:col>19</xdr:col>
      <xdr:colOff>2083190</xdr:colOff>
      <xdr:row>4</xdr:row>
      <xdr:rowOff>21318</xdr:rowOff>
    </xdr:to>
    <xdr:sp macro="[0]!RefreshData3" textlink="">
      <xdr:nvSpPr>
        <xdr:cNvPr id="2" name="Rounded Rectangle 1"/>
        <xdr:cNvSpPr/>
      </xdr:nvSpPr>
      <xdr:spPr>
        <a:xfrm>
          <a:off x="17466999" y="58635"/>
          <a:ext cx="1970741" cy="7246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800"/>
            <a:t>Atualizar Página</a:t>
          </a:r>
        </a:p>
      </xdr:txBody>
    </xdr:sp>
    <xdr:clientData/>
  </xdr:twoCellAnchor>
  <xdr:twoCellAnchor>
    <xdr:from>
      <xdr:col>1</xdr:col>
      <xdr:colOff>155863</xdr:colOff>
      <xdr:row>10</xdr:row>
      <xdr:rowOff>155863</xdr:rowOff>
    </xdr:from>
    <xdr:to>
      <xdr:col>17</xdr:col>
      <xdr:colOff>500062</xdr:colOff>
      <xdr:row>48</xdr:row>
      <xdr:rowOff>51954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155864</xdr:colOff>
      <xdr:row>53</xdr:row>
      <xdr:rowOff>121227</xdr:rowOff>
    </xdr:from>
    <xdr:to>
      <xdr:col>17</xdr:col>
      <xdr:colOff>476250</xdr:colOff>
      <xdr:row>91</xdr:row>
      <xdr:rowOff>34637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155864</xdr:colOff>
      <xdr:row>96</xdr:row>
      <xdr:rowOff>155864</xdr:rowOff>
    </xdr:from>
    <xdr:to>
      <xdr:col>17</xdr:col>
      <xdr:colOff>476250</xdr:colOff>
      <xdr:row>134</xdr:row>
      <xdr:rowOff>69273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156883</xdr:colOff>
      <xdr:row>136</xdr:row>
      <xdr:rowOff>22413</xdr:rowOff>
    </xdr:from>
    <xdr:to>
      <xdr:col>3</xdr:col>
      <xdr:colOff>780337</xdr:colOff>
      <xdr:row>140</xdr:row>
      <xdr:rowOff>142157</xdr:rowOff>
    </xdr:to>
    <xdr:pic>
      <xdr:nvPicPr>
        <xdr:cNvPr id="6" name="Picture 3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1208" y="25939938"/>
          <a:ext cx="2280804" cy="881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589434</xdr:colOff>
      <xdr:row>135</xdr:row>
      <xdr:rowOff>81645</xdr:rowOff>
    </xdr:from>
    <xdr:to>
      <xdr:col>17</xdr:col>
      <xdr:colOff>456714</xdr:colOff>
      <xdr:row>141</xdr:row>
      <xdr:rowOff>2879</xdr:rowOff>
    </xdr:to>
    <xdr:pic>
      <xdr:nvPicPr>
        <xdr:cNvPr id="7" name="Picture 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1834" y="25808670"/>
          <a:ext cx="915030" cy="1053936"/>
        </a:xfrm>
        <a:prstGeom prst="rect">
          <a:avLst/>
        </a:prstGeom>
        <a:noFill/>
        <a:ln>
          <a:noFill/>
        </a:ln>
        <a:effectLst>
          <a:glow>
            <a:schemeClr val="accent3">
              <a:satMod val="175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112449</xdr:colOff>
      <xdr:row>0</xdr:row>
      <xdr:rowOff>58635</xdr:rowOff>
    </xdr:from>
    <xdr:to>
      <xdr:col>19</xdr:col>
      <xdr:colOff>2083190</xdr:colOff>
      <xdr:row>4</xdr:row>
      <xdr:rowOff>21318</xdr:rowOff>
    </xdr:to>
    <xdr:sp macro="[0]!RefreshData3" textlink="">
      <xdr:nvSpPr>
        <xdr:cNvPr id="2" name="Rounded Rectangle 1"/>
        <xdr:cNvSpPr/>
      </xdr:nvSpPr>
      <xdr:spPr>
        <a:xfrm>
          <a:off x="17466999" y="58635"/>
          <a:ext cx="1970741" cy="7246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800"/>
            <a:t>Atualizar Página</a:t>
          </a:r>
        </a:p>
      </xdr:txBody>
    </xdr:sp>
    <xdr:clientData/>
  </xdr:twoCellAnchor>
  <xdr:twoCellAnchor>
    <xdr:from>
      <xdr:col>1</xdr:col>
      <xdr:colOff>155863</xdr:colOff>
      <xdr:row>10</xdr:row>
      <xdr:rowOff>155863</xdr:rowOff>
    </xdr:from>
    <xdr:to>
      <xdr:col>17</xdr:col>
      <xdr:colOff>500062</xdr:colOff>
      <xdr:row>48</xdr:row>
      <xdr:rowOff>51954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155864</xdr:colOff>
      <xdr:row>53</xdr:row>
      <xdr:rowOff>121227</xdr:rowOff>
    </xdr:from>
    <xdr:to>
      <xdr:col>17</xdr:col>
      <xdr:colOff>476250</xdr:colOff>
      <xdr:row>91</xdr:row>
      <xdr:rowOff>34637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155864</xdr:colOff>
      <xdr:row>96</xdr:row>
      <xdr:rowOff>155864</xdr:rowOff>
    </xdr:from>
    <xdr:to>
      <xdr:col>17</xdr:col>
      <xdr:colOff>476250</xdr:colOff>
      <xdr:row>134</xdr:row>
      <xdr:rowOff>69273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156883</xdr:colOff>
      <xdr:row>136</xdr:row>
      <xdr:rowOff>22413</xdr:rowOff>
    </xdr:from>
    <xdr:to>
      <xdr:col>3</xdr:col>
      <xdr:colOff>780337</xdr:colOff>
      <xdr:row>140</xdr:row>
      <xdr:rowOff>142157</xdr:rowOff>
    </xdr:to>
    <xdr:pic>
      <xdr:nvPicPr>
        <xdr:cNvPr id="6" name="Picture 3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1208" y="25939938"/>
          <a:ext cx="2280804" cy="881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589434</xdr:colOff>
      <xdr:row>135</xdr:row>
      <xdr:rowOff>81645</xdr:rowOff>
    </xdr:from>
    <xdr:to>
      <xdr:col>17</xdr:col>
      <xdr:colOff>456714</xdr:colOff>
      <xdr:row>141</xdr:row>
      <xdr:rowOff>2879</xdr:rowOff>
    </xdr:to>
    <xdr:pic>
      <xdr:nvPicPr>
        <xdr:cNvPr id="7" name="Picture 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1834" y="25808670"/>
          <a:ext cx="915030" cy="1053936"/>
        </a:xfrm>
        <a:prstGeom prst="rect">
          <a:avLst/>
        </a:prstGeom>
        <a:noFill/>
        <a:ln>
          <a:noFill/>
        </a:ln>
        <a:effectLst>
          <a:glow>
            <a:schemeClr val="accent3">
              <a:satMod val="175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112449</xdr:colOff>
      <xdr:row>0</xdr:row>
      <xdr:rowOff>58635</xdr:rowOff>
    </xdr:from>
    <xdr:to>
      <xdr:col>19</xdr:col>
      <xdr:colOff>2083190</xdr:colOff>
      <xdr:row>4</xdr:row>
      <xdr:rowOff>21318</xdr:rowOff>
    </xdr:to>
    <xdr:sp macro="[0]!RefreshData3" textlink="">
      <xdr:nvSpPr>
        <xdr:cNvPr id="3" name="Rounded Rectangle 2"/>
        <xdr:cNvSpPr/>
      </xdr:nvSpPr>
      <xdr:spPr>
        <a:xfrm>
          <a:off x="11120628" y="58635"/>
          <a:ext cx="1970741" cy="7246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800"/>
            <a:t>Atualizar Página</a:t>
          </a:r>
        </a:p>
      </xdr:txBody>
    </xdr:sp>
    <xdr:clientData/>
  </xdr:twoCellAnchor>
  <xdr:twoCellAnchor>
    <xdr:from>
      <xdr:col>1</xdr:col>
      <xdr:colOff>155863</xdr:colOff>
      <xdr:row>10</xdr:row>
      <xdr:rowOff>155863</xdr:rowOff>
    </xdr:from>
    <xdr:to>
      <xdr:col>17</xdr:col>
      <xdr:colOff>500062</xdr:colOff>
      <xdr:row>48</xdr:row>
      <xdr:rowOff>51954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155864</xdr:colOff>
      <xdr:row>53</xdr:row>
      <xdr:rowOff>121227</xdr:rowOff>
    </xdr:from>
    <xdr:to>
      <xdr:col>17</xdr:col>
      <xdr:colOff>476250</xdr:colOff>
      <xdr:row>91</xdr:row>
      <xdr:rowOff>34637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155864</xdr:colOff>
      <xdr:row>96</xdr:row>
      <xdr:rowOff>155864</xdr:rowOff>
    </xdr:from>
    <xdr:to>
      <xdr:col>17</xdr:col>
      <xdr:colOff>476250</xdr:colOff>
      <xdr:row>134</xdr:row>
      <xdr:rowOff>69273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156883</xdr:colOff>
      <xdr:row>136</xdr:row>
      <xdr:rowOff>22413</xdr:rowOff>
    </xdr:from>
    <xdr:to>
      <xdr:col>3</xdr:col>
      <xdr:colOff>780337</xdr:colOff>
      <xdr:row>140</xdr:row>
      <xdr:rowOff>142157</xdr:rowOff>
    </xdr:to>
    <xdr:pic>
      <xdr:nvPicPr>
        <xdr:cNvPr id="28" name="Picture 3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0648" y="25941619"/>
          <a:ext cx="2281924" cy="881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589434</xdr:colOff>
      <xdr:row>135</xdr:row>
      <xdr:rowOff>81645</xdr:rowOff>
    </xdr:from>
    <xdr:to>
      <xdr:col>17</xdr:col>
      <xdr:colOff>456714</xdr:colOff>
      <xdr:row>140</xdr:row>
      <xdr:rowOff>183081</xdr:rowOff>
    </xdr:to>
    <xdr:pic>
      <xdr:nvPicPr>
        <xdr:cNvPr id="29" name="Picture 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19934" y="25812752"/>
          <a:ext cx="915030" cy="1053936"/>
        </a:xfrm>
        <a:prstGeom prst="rect">
          <a:avLst/>
        </a:prstGeom>
        <a:noFill/>
        <a:ln>
          <a:noFill/>
        </a:ln>
        <a:effectLst>
          <a:glow>
            <a:schemeClr val="accent3">
              <a:satMod val="175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107014</xdr:colOff>
      <xdr:row>0</xdr:row>
      <xdr:rowOff>86847</xdr:rowOff>
    </xdr:from>
    <xdr:to>
      <xdr:col>19</xdr:col>
      <xdr:colOff>2078689</xdr:colOff>
      <xdr:row>4</xdr:row>
      <xdr:rowOff>48747</xdr:rowOff>
    </xdr:to>
    <xdr:sp macro="[0]!ChangeProject" textlink="">
      <xdr:nvSpPr>
        <xdr:cNvPr id="11" name="Rounded Rectangle 10"/>
        <xdr:cNvSpPr/>
      </xdr:nvSpPr>
      <xdr:spPr>
        <a:xfrm>
          <a:off x="11010338" y="86847"/>
          <a:ext cx="1971675" cy="723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000"/>
            <a:t>Mudar Projeto</a:t>
          </a:r>
        </a:p>
      </xdr:txBody>
    </xdr:sp>
    <xdr:clientData/>
  </xdr:twoCellAnchor>
  <xdr:twoCellAnchor>
    <xdr:from>
      <xdr:col>20</xdr:col>
      <xdr:colOff>17200</xdr:colOff>
      <xdr:row>0</xdr:row>
      <xdr:rowOff>99457</xdr:rowOff>
    </xdr:from>
    <xdr:to>
      <xdr:col>22</xdr:col>
      <xdr:colOff>1157906</xdr:colOff>
      <xdr:row>4</xdr:row>
      <xdr:rowOff>62140</xdr:rowOff>
    </xdr:to>
    <xdr:sp macro="[0]!RefreshData" textlink="">
      <xdr:nvSpPr>
        <xdr:cNvPr id="17" name="Rounded Rectangle 16"/>
        <xdr:cNvSpPr/>
      </xdr:nvSpPr>
      <xdr:spPr>
        <a:xfrm>
          <a:off x="13088431" y="99457"/>
          <a:ext cx="1968648" cy="7246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000"/>
            <a:t>Atualizar</a:t>
          </a:r>
        </a:p>
      </xdr:txBody>
    </xdr:sp>
    <xdr:clientData/>
  </xdr:twoCellAnchor>
  <xdr:twoCellAnchor>
    <xdr:from>
      <xdr:col>1</xdr:col>
      <xdr:colOff>502229</xdr:colOff>
      <xdr:row>10</xdr:row>
      <xdr:rowOff>34636</xdr:rowOff>
    </xdr:from>
    <xdr:to>
      <xdr:col>17</xdr:col>
      <xdr:colOff>34637</xdr:colOff>
      <xdr:row>38</xdr:row>
      <xdr:rowOff>34635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493059</xdr:colOff>
      <xdr:row>41</xdr:row>
      <xdr:rowOff>100855</xdr:rowOff>
    </xdr:from>
    <xdr:to>
      <xdr:col>17</xdr:col>
      <xdr:colOff>448235</xdr:colOff>
      <xdr:row>44</xdr:row>
      <xdr:rowOff>161927</xdr:rowOff>
    </xdr:to>
    <xdr:pic>
      <xdr:nvPicPr>
        <xdr:cNvPr id="41" name="Picture 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51384" y="7911355"/>
          <a:ext cx="555251" cy="632572"/>
        </a:xfrm>
        <a:prstGeom prst="rect">
          <a:avLst/>
        </a:prstGeom>
        <a:noFill/>
        <a:ln>
          <a:noFill/>
        </a:ln>
        <a:effectLst>
          <a:glow>
            <a:schemeClr val="accent3">
              <a:satMod val="175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502229</xdr:colOff>
      <xdr:row>55</xdr:row>
      <xdr:rowOff>34636</xdr:rowOff>
    </xdr:from>
    <xdr:to>
      <xdr:col>17</xdr:col>
      <xdr:colOff>34637</xdr:colOff>
      <xdr:row>83</xdr:row>
      <xdr:rowOff>34635</xdr:rowOff>
    </xdr:to>
    <xdr:graphicFrame macro="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16</xdr:col>
      <xdr:colOff>493059</xdr:colOff>
      <xdr:row>86</xdr:row>
      <xdr:rowOff>100855</xdr:rowOff>
    </xdr:from>
    <xdr:to>
      <xdr:col>17</xdr:col>
      <xdr:colOff>448235</xdr:colOff>
      <xdr:row>89</xdr:row>
      <xdr:rowOff>161927</xdr:rowOff>
    </xdr:to>
    <xdr:pic>
      <xdr:nvPicPr>
        <xdr:cNvPr id="44" name="Picture 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832" y="7911355"/>
          <a:ext cx="561312" cy="632572"/>
        </a:xfrm>
        <a:prstGeom prst="rect">
          <a:avLst/>
        </a:prstGeom>
        <a:noFill/>
        <a:ln>
          <a:noFill/>
        </a:ln>
        <a:effectLst>
          <a:glow>
            <a:schemeClr val="accent3">
              <a:satMod val="175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502229</xdr:colOff>
      <xdr:row>100</xdr:row>
      <xdr:rowOff>34636</xdr:rowOff>
    </xdr:from>
    <xdr:to>
      <xdr:col>17</xdr:col>
      <xdr:colOff>34637</xdr:colOff>
      <xdr:row>128</xdr:row>
      <xdr:rowOff>34635</xdr:rowOff>
    </xdr:to>
    <xdr:graphicFrame macro="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16</xdr:col>
      <xdr:colOff>493059</xdr:colOff>
      <xdr:row>131</xdr:row>
      <xdr:rowOff>100855</xdr:rowOff>
    </xdr:from>
    <xdr:to>
      <xdr:col>17</xdr:col>
      <xdr:colOff>448235</xdr:colOff>
      <xdr:row>134</xdr:row>
      <xdr:rowOff>161927</xdr:rowOff>
    </xdr:to>
    <xdr:pic>
      <xdr:nvPicPr>
        <xdr:cNvPr id="47" name="Picture 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832" y="16483855"/>
          <a:ext cx="561312" cy="632572"/>
        </a:xfrm>
        <a:prstGeom prst="rect">
          <a:avLst/>
        </a:prstGeom>
        <a:noFill/>
        <a:ln>
          <a:noFill/>
        </a:ln>
        <a:effectLst>
          <a:glow>
            <a:schemeClr val="accent3">
              <a:satMod val="175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502229</xdr:colOff>
      <xdr:row>145</xdr:row>
      <xdr:rowOff>34636</xdr:rowOff>
    </xdr:from>
    <xdr:to>
      <xdr:col>17</xdr:col>
      <xdr:colOff>34637</xdr:colOff>
      <xdr:row>173</xdr:row>
      <xdr:rowOff>34635</xdr:rowOff>
    </xdr:to>
    <xdr:graphicFrame macro="">
      <xdr:nvGraphicFramePr>
        <xdr:cNvPr id="48" name="Chart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16</xdr:col>
      <xdr:colOff>493059</xdr:colOff>
      <xdr:row>176</xdr:row>
      <xdr:rowOff>100855</xdr:rowOff>
    </xdr:from>
    <xdr:to>
      <xdr:col>17</xdr:col>
      <xdr:colOff>448235</xdr:colOff>
      <xdr:row>179</xdr:row>
      <xdr:rowOff>161927</xdr:rowOff>
    </xdr:to>
    <xdr:pic>
      <xdr:nvPicPr>
        <xdr:cNvPr id="50" name="Picture 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832" y="25056355"/>
          <a:ext cx="561312" cy="632572"/>
        </a:xfrm>
        <a:prstGeom prst="rect">
          <a:avLst/>
        </a:prstGeom>
        <a:noFill/>
        <a:ln>
          <a:noFill/>
        </a:ln>
        <a:effectLst>
          <a:glow>
            <a:schemeClr val="accent3">
              <a:satMod val="175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502229</xdr:colOff>
      <xdr:row>190</xdr:row>
      <xdr:rowOff>34636</xdr:rowOff>
    </xdr:from>
    <xdr:to>
      <xdr:col>17</xdr:col>
      <xdr:colOff>34637</xdr:colOff>
      <xdr:row>218</xdr:row>
      <xdr:rowOff>34635</xdr:rowOff>
    </xdr:to>
    <xdr:graphicFrame macro="">
      <xdr:nvGraphicFramePr>
        <xdr:cNvPr id="51" name="Chart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493059</xdr:colOff>
      <xdr:row>221</xdr:row>
      <xdr:rowOff>100855</xdr:rowOff>
    </xdr:from>
    <xdr:to>
      <xdr:col>17</xdr:col>
      <xdr:colOff>448235</xdr:colOff>
      <xdr:row>224</xdr:row>
      <xdr:rowOff>161927</xdr:rowOff>
    </xdr:to>
    <xdr:pic>
      <xdr:nvPicPr>
        <xdr:cNvPr id="53" name="Picture 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832" y="33628855"/>
          <a:ext cx="561312" cy="632572"/>
        </a:xfrm>
        <a:prstGeom prst="rect">
          <a:avLst/>
        </a:prstGeom>
        <a:noFill/>
        <a:ln>
          <a:noFill/>
        </a:ln>
        <a:effectLst>
          <a:glow>
            <a:schemeClr val="accent3">
              <a:satMod val="175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502229</xdr:colOff>
      <xdr:row>235</xdr:row>
      <xdr:rowOff>34636</xdr:rowOff>
    </xdr:from>
    <xdr:to>
      <xdr:col>17</xdr:col>
      <xdr:colOff>34637</xdr:colOff>
      <xdr:row>263</xdr:row>
      <xdr:rowOff>34635</xdr:rowOff>
    </xdr:to>
    <xdr:graphicFrame macro="">
      <xdr:nvGraphicFramePr>
        <xdr:cNvPr id="54" name="Chart 5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16</xdr:col>
      <xdr:colOff>493059</xdr:colOff>
      <xdr:row>266</xdr:row>
      <xdr:rowOff>100855</xdr:rowOff>
    </xdr:from>
    <xdr:to>
      <xdr:col>17</xdr:col>
      <xdr:colOff>448235</xdr:colOff>
      <xdr:row>269</xdr:row>
      <xdr:rowOff>161927</xdr:rowOff>
    </xdr:to>
    <xdr:pic>
      <xdr:nvPicPr>
        <xdr:cNvPr id="56" name="Picture 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832" y="42201355"/>
          <a:ext cx="561312" cy="632572"/>
        </a:xfrm>
        <a:prstGeom prst="rect">
          <a:avLst/>
        </a:prstGeom>
        <a:noFill/>
        <a:ln>
          <a:noFill/>
        </a:ln>
        <a:effectLst>
          <a:glow>
            <a:schemeClr val="accent3">
              <a:satMod val="175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42</xdr:row>
      <xdr:rowOff>1</xdr:rowOff>
    </xdr:from>
    <xdr:to>
      <xdr:col>3</xdr:col>
      <xdr:colOff>136072</xdr:colOff>
      <xdr:row>44</xdr:row>
      <xdr:rowOff>150371</xdr:rowOff>
    </xdr:to>
    <xdr:pic>
      <xdr:nvPicPr>
        <xdr:cNvPr id="22" name="Picture 3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2964" y="8014608"/>
          <a:ext cx="1360715" cy="5313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87</xdr:row>
      <xdr:rowOff>0</xdr:rowOff>
    </xdr:from>
    <xdr:to>
      <xdr:col>3</xdr:col>
      <xdr:colOff>136072</xdr:colOff>
      <xdr:row>89</xdr:row>
      <xdr:rowOff>150370</xdr:rowOff>
    </xdr:to>
    <xdr:pic>
      <xdr:nvPicPr>
        <xdr:cNvPr id="23" name="Picture 3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2964" y="16587107"/>
          <a:ext cx="1360715" cy="5313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132</xdr:row>
      <xdr:rowOff>0</xdr:rowOff>
    </xdr:from>
    <xdr:to>
      <xdr:col>3</xdr:col>
      <xdr:colOff>136072</xdr:colOff>
      <xdr:row>134</xdr:row>
      <xdr:rowOff>150370</xdr:rowOff>
    </xdr:to>
    <xdr:pic>
      <xdr:nvPicPr>
        <xdr:cNvPr id="24" name="Picture 3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2964" y="25159607"/>
          <a:ext cx="1360715" cy="5313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177</xdr:row>
      <xdr:rowOff>0</xdr:rowOff>
    </xdr:from>
    <xdr:to>
      <xdr:col>3</xdr:col>
      <xdr:colOff>136072</xdr:colOff>
      <xdr:row>179</xdr:row>
      <xdr:rowOff>150370</xdr:rowOff>
    </xdr:to>
    <xdr:pic>
      <xdr:nvPicPr>
        <xdr:cNvPr id="25" name="Picture 3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2964" y="33732107"/>
          <a:ext cx="1360715" cy="5313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222</xdr:row>
      <xdr:rowOff>0</xdr:rowOff>
    </xdr:from>
    <xdr:to>
      <xdr:col>3</xdr:col>
      <xdr:colOff>136072</xdr:colOff>
      <xdr:row>224</xdr:row>
      <xdr:rowOff>150370</xdr:rowOff>
    </xdr:to>
    <xdr:pic>
      <xdr:nvPicPr>
        <xdr:cNvPr id="26" name="Picture 3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2964" y="42304607"/>
          <a:ext cx="1360715" cy="5313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267</xdr:row>
      <xdr:rowOff>0</xdr:rowOff>
    </xdr:from>
    <xdr:to>
      <xdr:col>3</xdr:col>
      <xdr:colOff>136072</xdr:colOff>
      <xdr:row>269</xdr:row>
      <xdr:rowOff>150370</xdr:rowOff>
    </xdr:to>
    <xdr:pic>
      <xdr:nvPicPr>
        <xdr:cNvPr id="27" name="Picture 3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2964" y="50877107"/>
          <a:ext cx="1360715" cy="5313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RefDaten" refreshOnLoad="1" connectionId="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NC" refreshOnLoad="1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Melhorias" refreshOnLoad="1" connectionId="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AlteraçãoEng_3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AlteraçãoEng_2" connectionId="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AlteraçãoEng_4" refreshOnLoad="1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Outros" refreshOnLoad="1" connectionId="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queryTable" Target="../queryTables/queryTable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266"/>
  <sheetViews>
    <sheetView view="pageBreakPreview" zoomScale="40" zoomScaleNormal="70" zoomScaleSheetLayoutView="40" workbookViewId="0">
      <selection activeCell="W37" sqref="W37"/>
    </sheetView>
  </sheetViews>
  <sheetFormatPr defaultRowHeight="15" x14ac:dyDescent="0.25"/>
  <cols>
    <col min="1" max="1" width="4.7109375" style="2" customWidth="1"/>
    <col min="2" max="3" width="15.7109375" style="2" customWidth="1"/>
    <col min="4" max="4" width="23.7109375" style="2" customWidth="1"/>
    <col min="5" max="5" width="25.7109375" style="2" customWidth="1"/>
    <col min="6" max="6" width="9.140625" style="2" customWidth="1"/>
    <col min="7" max="13" width="9.140625" style="2"/>
    <col min="14" max="14" width="25.7109375" style="2" customWidth="1"/>
    <col min="15" max="15" width="30.7109375" style="2" customWidth="1"/>
    <col min="16" max="17" width="15.7109375" style="2" customWidth="1"/>
    <col min="18" max="18" width="9.140625" style="2"/>
    <col min="19" max="19" width="4.5703125" style="2" customWidth="1"/>
    <col min="20" max="20" width="31.7109375" style="2" bestFit="1" customWidth="1"/>
    <col min="21" max="21" width="0" style="2" hidden="1" customWidth="1"/>
    <col min="22" max="22" width="3.28515625" style="2" customWidth="1"/>
    <col min="23" max="23" width="24.7109375" style="2" customWidth="1"/>
    <col min="24" max="25" width="12.85546875" style="2" customWidth="1"/>
    <col min="26" max="26" width="39" style="2" bestFit="1" customWidth="1"/>
    <col min="27" max="27" width="15.140625" style="30" bestFit="1" customWidth="1"/>
    <col min="28" max="28" width="11.85546875" style="2" bestFit="1" customWidth="1"/>
    <col min="29" max="29" width="21.42578125" style="2" bestFit="1" customWidth="1"/>
    <col min="30" max="30" width="5" style="2" bestFit="1" customWidth="1"/>
    <col min="31" max="16384" width="9.140625" style="2"/>
  </cols>
  <sheetData>
    <row r="1" spans="1:30" ht="15" customHeight="1" x14ac:dyDescent="0.25">
      <c r="A1" s="63"/>
      <c r="B1" s="3"/>
      <c r="C1" s="3"/>
      <c r="D1" s="3"/>
      <c r="E1" s="116" t="s">
        <v>3</v>
      </c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3"/>
      <c r="Q1" s="3"/>
      <c r="R1" s="3"/>
      <c r="S1" s="61"/>
      <c r="T1" s="10"/>
      <c r="Z1" s="49" t="s">
        <v>4</v>
      </c>
      <c r="AA1" s="88"/>
      <c r="AB1" s="102"/>
      <c r="AC1" s="103"/>
      <c r="AD1" s="104"/>
    </row>
    <row r="2" spans="1:30" ht="15" customHeight="1" x14ac:dyDescent="0.25">
      <c r="A2" s="64"/>
      <c r="B2" s="56"/>
      <c r="C2" s="56"/>
      <c r="D2" s="56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58"/>
      <c r="Q2" s="56"/>
      <c r="R2" s="56"/>
      <c r="S2" s="62"/>
      <c r="Z2" s="50" t="s">
        <v>477</v>
      </c>
      <c r="AA2" s="89">
        <v>5</v>
      </c>
      <c r="AB2" s="95">
        <v>72</v>
      </c>
      <c r="AC2" s="95"/>
      <c r="AD2" s="105"/>
    </row>
    <row r="3" spans="1:30" ht="15" customHeight="1" x14ac:dyDescent="0.25">
      <c r="A3" s="64"/>
      <c r="B3" s="56"/>
      <c r="C3" s="56"/>
      <c r="D3" s="56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58"/>
      <c r="Q3" s="56"/>
      <c r="R3" s="56"/>
      <c r="S3" s="62"/>
      <c r="Z3" s="50" t="s">
        <v>476</v>
      </c>
      <c r="AA3" s="89">
        <v>4</v>
      </c>
      <c r="AB3" s="95">
        <v>60</v>
      </c>
      <c r="AC3" s="95"/>
      <c r="AD3" s="105"/>
    </row>
    <row r="4" spans="1:30" ht="15" customHeight="1" x14ac:dyDescent="0.25">
      <c r="A4" s="64"/>
      <c r="B4" s="56"/>
      <c r="C4" s="56"/>
      <c r="D4" s="56"/>
      <c r="E4" s="114" t="s">
        <v>357</v>
      </c>
      <c r="F4" s="114"/>
      <c r="G4" s="114"/>
      <c r="H4" s="114"/>
      <c r="I4" s="115" t="str">
        <f>T6</f>
        <v>2017</v>
      </c>
      <c r="J4" s="115"/>
      <c r="K4" s="115"/>
      <c r="L4" s="115"/>
      <c r="M4" s="115"/>
      <c r="N4" s="115"/>
      <c r="O4" s="115"/>
      <c r="P4" s="58"/>
      <c r="Q4" s="56"/>
      <c r="R4" s="56"/>
      <c r="S4" s="62"/>
      <c r="Z4" s="50" t="s">
        <v>218</v>
      </c>
      <c r="AA4" s="89"/>
      <c r="AB4" s="95">
        <v>23</v>
      </c>
      <c r="AC4" s="95"/>
      <c r="AD4" s="105"/>
    </row>
    <row r="5" spans="1:30" ht="15" customHeight="1" x14ac:dyDescent="0.25">
      <c r="A5" s="65"/>
      <c r="B5" s="54"/>
      <c r="C5" s="55"/>
      <c r="D5" s="55"/>
      <c r="E5" s="114"/>
      <c r="F5" s="114"/>
      <c r="G5" s="114"/>
      <c r="H5" s="114"/>
      <c r="I5" s="115"/>
      <c r="J5" s="115"/>
      <c r="K5" s="115"/>
      <c r="L5" s="115"/>
      <c r="M5" s="115"/>
      <c r="N5" s="115"/>
      <c r="O5" s="115"/>
      <c r="P5" s="58"/>
      <c r="Q5" s="55"/>
      <c r="R5" s="55"/>
      <c r="S5" s="62"/>
      <c r="T5" s="30">
        <v>2016</v>
      </c>
      <c r="Z5" s="50" t="s">
        <v>475</v>
      </c>
      <c r="AA5" s="89">
        <v>2</v>
      </c>
      <c r="AB5" s="95">
        <v>35</v>
      </c>
      <c r="AC5" s="95"/>
      <c r="AD5" s="105"/>
    </row>
    <row r="6" spans="1:30" ht="15" customHeight="1" x14ac:dyDescent="0.25">
      <c r="A6" s="65"/>
      <c r="B6" s="54"/>
      <c r="C6" s="55"/>
      <c r="D6" s="55"/>
      <c r="E6" s="114"/>
      <c r="F6" s="114"/>
      <c r="G6" s="114"/>
      <c r="H6" s="114"/>
      <c r="I6" s="115"/>
      <c r="J6" s="115"/>
      <c r="K6" s="115"/>
      <c r="L6" s="115"/>
      <c r="M6" s="115"/>
      <c r="N6" s="115"/>
      <c r="O6" s="115"/>
      <c r="P6" s="58"/>
      <c r="Q6" s="55"/>
      <c r="R6" s="55"/>
      <c r="S6" s="62"/>
      <c r="T6" s="16" t="s">
        <v>161</v>
      </c>
      <c r="Z6" s="50" t="s">
        <v>249</v>
      </c>
      <c r="AA6" s="89"/>
      <c r="AB6" s="95">
        <v>8</v>
      </c>
      <c r="AC6" s="95"/>
      <c r="AD6" s="105"/>
    </row>
    <row r="7" spans="1:30" ht="15" customHeight="1" x14ac:dyDescent="0.25">
      <c r="A7" s="65"/>
      <c r="B7" s="54"/>
      <c r="C7" s="55"/>
      <c r="D7" s="5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55"/>
      <c r="Q7" s="55"/>
      <c r="R7" s="55"/>
      <c r="S7" s="62"/>
      <c r="T7" s="10"/>
      <c r="Z7" s="50" t="s">
        <v>2</v>
      </c>
      <c r="AA7" s="89">
        <f>SUM(AA2:AA6)</f>
        <v>11</v>
      </c>
      <c r="AB7" s="95">
        <f>SUM(AB2:AB6)</f>
        <v>198</v>
      </c>
      <c r="AC7" s="95"/>
      <c r="AD7" s="105"/>
    </row>
    <row r="8" spans="1:30" ht="15" customHeight="1" x14ac:dyDescent="0.25">
      <c r="A8" s="66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S8" s="62"/>
      <c r="T8" s="2" t="s">
        <v>486</v>
      </c>
      <c r="Z8" s="48" t="s">
        <v>5</v>
      </c>
      <c r="AA8" s="90"/>
      <c r="AB8" s="106"/>
      <c r="AC8" s="106"/>
      <c r="AD8" s="107"/>
    </row>
    <row r="9" spans="1:30" ht="15" customHeight="1" x14ac:dyDescent="0.25">
      <c r="A9" s="73"/>
      <c r="B9" s="57"/>
      <c r="C9" s="57"/>
      <c r="D9" s="57"/>
      <c r="E9" s="74"/>
      <c r="F9" s="74"/>
      <c r="G9" s="74"/>
      <c r="H9" s="74"/>
      <c r="I9" s="74"/>
      <c r="J9" s="74"/>
      <c r="K9" s="74"/>
      <c r="L9" s="74"/>
      <c r="M9" s="74"/>
      <c r="N9" s="74"/>
      <c r="O9" s="74"/>
      <c r="P9" s="57"/>
      <c r="Q9" s="57"/>
      <c r="R9" s="57"/>
      <c r="S9" s="62"/>
      <c r="Z9" s="44" t="s">
        <v>8</v>
      </c>
      <c r="AA9" s="91">
        <v>15</v>
      </c>
      <c r="AB9" s="108"/>
      <c r="AC9" s="108"/>
      <c r="AD9" s="109"/>
    </row>
    <row r="10" spans="1:30" ht="15" customHeight="1" x14ac:dyDescent="0.25">
      <c r="A10" s="73"/>
      <c r="B10" s="57"/>
      <c r="C10" s="57"/>
      <c r="D10" s="57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57"/>
      <c r="Q10" s="57"/>
      <c r="R10" s="57"/>
      <c r="S10" s="62"/>
      <c r="W10" s="2" t="s">
        <v>17</v>
      </c>
      <c r="Z10" s="44" t="s">
        <v>7</v>
      </c>
      <c r="AA10" s="91">
        <v>6</v>
      </c>
      <c r="AB10" s="108"/>
      <c r="AC10" s="108"/>
      <c r="AD10" s="109"/>
    </row>
    <row r="11" spans="1:30" x14ac:dyDescent="0.25">
      <c r="A11" s="73"/>
      <c r="B11" s="118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62"/>
      <c r="Z11" s="44" t="s">
        <v>41</v>
      </c>
      <c r="AA11" s="91">
        <v>1</v>
      </c>
      <c r="AB11" s="108"/>
      <c r="AC11" s="108"/>
      <c r="AD11" s="109"/>
    </row>
    <row r="12" spans="1:30" x14ac:dyDescent="0.25">
      <c r="A12" s="73"/>
      <c r="B12" s="118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62"/>
      <c r="Z12" s="44" t="s">
        <v>40</v>
      </c>
      <c r="AA12" s="91"/>
      <c r="AB12" s="108"/>
      <c r="AC12" s="108"/>
      <c r="AD12" s="109"/>
    </row>
    <row r="13" spans="1:30" x14ac:dyDescent="0.25">
      <c r="A13" s="73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62"/>
      <c r="T13" s="12"/>
      <c r="Z13" s="44" t="s">
        <v>1</v>
      </c>
      <c r="AA13" s="91">
        <v>1</v>
      </c>
      <c r="AB13" s="108"/>
      <c r="AC13" s="108"/>
      <c r="AD13" s="109"/>
    </row>
    <row r="14" spans="1:30" x14ac:dyDescent="0.25">
      <c r="A14" s="73"/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62"/>
      <c r="T14" s="11"/>
      <c r="Z14" s="96" t="s">
        <v>356</v>
      </c>
      <c r="AA14" s="94">
        <f>SUM(AA15:AA24)</f>
        <v>0</v>
      </c>
      <c r="AB14" s="110"/>
      <c r="AC14" s="110"/>
      <c r="AD14" s="111"/>
    </row>
    <row r="15" spans="1:30" x14ac:dyDescent="0.25">
      <c r="A15" s="73"/>
      <c r="B15" s="118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62"/>
      <c r="Z15" s="45" t="s">
        <v>353</v>
      </c>
      <c r="AA15" s="98"/>
      <c r="AB15" s="99"/>
      <c r="AC15" s="100"/>
      <c r="AD15" s="101"/>
    </row>
    <row r="16" spans="1:30" x14ac:dyDescent="0.25">
      <c r="A16" s="73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62"/>
      <c r="Z16" s="45" t="s">
        <v>185</v>
      </c>
      <c r="AA16" s="98"/>
      <c r="AB16" s="99"/>
      <c r="AC16" s="100"/>
      <c r="AD16" s="101">
        <v>19</v>
      </c>
    </row>
    <row r="17" spans="1:30" x14ac:dyDescent="0.25">
      <c r="A17" s="73"/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62"/>
      <c r="Z17" s="45" t="s">
        <v>210</v>
      </c>
      <c r="AA17" s="98"/>
      <c r="AB17" s="99"/>
      <c r="AC17" s="100"/>
      <c r="AD17" s="101">
        <v>2</v>
      </c>
    </row>
    <row r="18" spans="1:30" x14ac:dyDescent="0.25">
      <c r="A18" s="73"/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62"/>
      <c r="Z18" s="45" t="s">
        <v>354</v>
      </c>
      <c r="AA18" s="98"/>
      <c r="AB18" s="99"/>
      <c r="AC18" s="100"/>
      <c r="AD18" s="101"/>
    </row>
    <row r="19" spans="1:30" x14ac:dyDescent="0.25">
      <c r="A19" s="73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62"/>
      <c r="Z19" s="45" t="s">
        <v>46</v>
      </c>
      <c r="AA19" s="98"/>
      <c r="AB19" s="99"/>
      <c r="AC19" s="100"/>
      <c r="AD19" s="101">
        <v>40</v>
      </c>
    </row>
    <row r="20" spans="1:30" x14ac:dyDescent="0.25">
      <c r="A20" s="73"/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62"/>
      <c r="Z20" s="45" t="s">
        <v>204</v>
      </c>
      <c r="AA20" s="98"/>
      <c r="AB20" s="99"/>
      <c r="AC20" s="100"/>
      <c r="AD20" s="101">
        <v>19</v>
      </c>
    </row>
    <row r="21" spans="1:30" x14ac:dyDescent="0.25">
      <c r="A21" s="73"/>
      <c r="B21" s="118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62"/>
      <c r="Z21" s="45" t="s">
        <v>143</v>
      </c>
      <c r="AA21" s="98"/>
      <c r="AB21" s="99"/>
      <c r="AC21" s="100"/>
      <c r="AD21" s="101">
        <v>29</v>
      </c>
    </row>
    <row r="22" spans="1:30" x14ac:dyDescent="0.25">
      <c r="A22" s="73"/>
      <c r="B22" s="118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62"/>
      <c r="Z22" s="45" t="s">
        <v>147</v>
      </c>
      <c r="AA22" s="98"/>
      <c r="AB22" s="99"/>
      <c r="AC22" s="100"/>
      <c r="AD22" s="101">
        <v>22</v>
      </c>
    </row>
    <row r="23" spans="1:30" x14ac:dyDescent="0.25">
      <c r="A23" s="73"/>
      <c r="B23" s="118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62"/>
      <c r="Z23" s="45" t="s">
        <v>57</v>
      </c>
      <c r="AA23" s="98"/>
      <c r="AB23" s="99"/>
      <c r="AC23" s="100"/>
      <c r="AD23" s="101">
        <v>33</v>
      </c>
    </row>
    <row r="24" spans="1:30" x14ac:dyDescent="0.25">
      <c r="A24" s="73"/>
      <c r="B24" s="11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62"/>
      <c r="Z24" s="46" t="s">
        <v>52</v>
      </c>
      <c r="AA24" s="98"/>
      <c r="AB24" s="99"/>
      <c r="AC24" s="100"/>
      <c r="AD24" s="101">
        <v>30</v>
      </c>
    </row>
    <row r="25" spans="1:30" x14ac:dyDescent="0.25">
      <c r="A25" s="73"/>
      <c r="B25" s="118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62"/>
      <c r="Z25" s="46"/>
      <c r="AA25" s="98"/>
      <c r="AB25" s="99"/>
      <c r="AC25" s="100"/>
      <c r="AD25" s="101"/>
    </row>
    <row r="26" spans="1:30" x14ac:dyDescent="0.25">
      <c r="A26" s="73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62"/>
      <c r="Z26" s="46"/>
      <c r="AA26" s="92"/>
      <c r="AB26" s="100"/>
      <c r="AC26" s="100"/>
      <c r="AD26" s="101"/>
    </row>
    <row r="27" spans="1:30" x14ac:dyDescent="0.25">
      <c r="A27" s="73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62"/>
      <c r="Z27" s="46"/>
      <c r="AA27" s="92"/>
      <c r="AB27" s="100"/>
      <c r="AC27" s="100"/>
      <c r="AD27" s="101"/>
    </row>
    <row r="28" spans="1:30" x14ac:dyDescent="0.25">
      <c r="A28" s="73"/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62"/>
      <c r="Z28" s="97"/>
      <c r="AA28" s="92" t="s">
        <v>8</v>
      </c>
      <c r="AB28" s="100" t="s">
        <v>7</v>
      </c>
      <c r="AC28" s="100" t="s">
        <v>41</v>
      </c>
      <c r="AD28" s="101" t="s">
        <v>479</v>
      </c>
    </row>
    <row r="29" spans="1:30" x14ac:dyDescent="0.25">
      <c r="A29" s="73"/>
      <c r="B29" s="118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62"/>
      <c r="Z29" s="46"/>
      <c r="AA29" s="92"/>
      <c r="AB29" s="100"/>
      <c r="AC29" s="100"/>
      <c r="AD29" s="101"/>
    </row>
    <row r="30" spans="1:30" x14ac:dyDescent="0.25">
      <c r="A30" s="73"/>
      <c r="B30" s="118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62"/>
      <c r="Z30" s="46"/>
      <c r="AA30" s="92"/>
      <c r="AB30" s="100"/>
      <c r="AC30" s="100"/>
      <c r="AD30" s="101"/>
    </row>
    <row r="31" spans="1:30" x14ac:dyDescent="0.25">
      <c r="A31" s="73"/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62"/>
      <c r="Z31" s="46"/>
      <c r="AA31" s="92"/>
      <c r="AB31" s="100"/>
      <c r="AC31" s="100"/>
      <c r="AD31" s="101"/>
    </row>
    <row r="32" spans="1:30" x14ac:dyDescent="0.25">
      <c r="A32" s="73"/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62"/>
      <c r="Z32" s="46"/>
      <c r="AA32" s="92"/>
      <c r="AB32" s="100"/>
      <c r="AC32" s="100"/>
      <c r="AD32" s="101"/>
    </row>
    <row r="33" spans="1:30" x14ac:dyDescent="0.25">
      <c r="A33" s="73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62"/>
      <c r="Z33" s="46"/>
      <c r="AA33" s="92"/>
      <c r="AB33" s="100"/>
      <c r="AC33" s="100"/>
      <c r="AD33" s="101"/>
    </row>
    <row r="34" spans="1:30" x14ac:dyDescent="0.25">
      <c r="A34" s="73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62"/>
      <c r="Z34" s="97"/>
      <c r="AA34" s="92"/>
      <c r="AB34" s="100"/>
      <c r="AC34" s="100"/>
      <c r="AD34" s="101"/>
    </row>
    <row r="35" spans="1:30" x14ac:dyDescent="0.25">
      <c r="A35" s="73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62"/>
      <c r="Z35" s="46"/>
      <c r="AA35" s="92"/>
      <c r="AB35" s="100"/>
      <c r="AC35" s="100"/>
      <c r="AD35" s="101"/>
    </row>
    <row r="36" spans="1:30" x14ac:dyDescent="0.25">
      <c r="A36" s="73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62"/>
      <c r="Z36" s="46"/>
      <c r="AA36" s="92"/>
      <c r="AB36" s="100"/>
      <c r="AC36" s="100"/>
      <c r="AD36" s="101"/>
    </row>
    <row r="37" spans="1:30" x14ac:dyDescent="0.25">
      <c r="A37" s="73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62"/>
      <c r="Z37" s="46"/>
      <c r="AA37" s="92"/>
      <c r="AB37" s="100"/>
      <c r="AC37" s="100"/>
      <c r="AD37" s="101"/>
    </row>
    <row r="38" spans="1:30" x14ac:dyDescent="0.25">
      <c r="A38" s="73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62"/>
      <c r="Z38" s="46"/>
      <c r="AA38" s="92"/>
      <c r="AB38" s="100"/>
      <c r="AC38" s="100"/>
      <c r="AD38" s="101"/>
    </row>
    <row r="39" spans="1:30" ht="15.75" thickBot="1" x14ac:dyDescent="0.3">
      <c r="A39" s="73"/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62"/>
      <c r="Z39" s="47"/>
      <c r="AA39" s="93"/>
      <c r="AB39" s="112"/>
      <c r="AC39" s="112"/>
      <c r="AD39" s="113"/>
    </row>
    <row r="40" spans="1:30" x14ac:dyDescent="0.25">
      <c r="A40" s="73"/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62"/>
    </row>
    <row r="41" spans="1:30" x14ac:dyDescent="0.25">
      <c r="A41" s="73"/>
      <c r="B41" s="118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62"/>
    </row>
    <row r="42" spans="1:30" x14ac:dyDescent="0.25">
      <c r="A42" s="67"/>
      <c r="B42" s="118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62"/>
    </row>
    <row r="43" spans="1:30" x14ac:dyDescent="0.25">
      <c r="A43" s="67"/>
      <c r="B43" s="118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62"/>
    </row>
    <row r="44" spans="1:30" x14ac:dyDescent="0.25">
      <c r="A44" s="67"/>
      <c r="B44" s="118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62"/>
    </row>
    <row r="45" spans="1:30" x14ac:dyDescent="0.25">
      <c r="A45" s="67"/>
      <c r="B45" s="118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8"/>
      <c r="Q45" s="118"/>
      <c r="R45" s="118"/>
      <c r="S45" s="62"/>
    </row>
    <row r="46" spans="1:30" x14ac:dyDescent="0.25">
      <c r="A46" s="66"/>
      <c r="B46" s="118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62"/>
    </row>
    <row r="47" spans="1:30" ht="15" customHeight="1" x14ac:dyDescent="0.25">
      <c r="A47" s="64"/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62"/>
    </row>
    <row r="48" spans="1:30" ht="15" customHeight="1" x14ac:dyDescent="0.25">
      <c r="A48" s="64"/>
      <c r="B48" s="118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62"/>
    </row>
    <row r="49" spans="1:19" ht="15" customHeight="1" x14ac:dyDescent="0.25">
      <c r="A49" s="64"/>
      <c r="B49" s="118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62"/>
    </row>
    <row r="50" spans="1:19" ht="15" customHeight="1" x14ac:dyDescent="0.25">
      <c r="A50" s="65"/>
      <c r="B50" s="54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62"/>
    </row>
    <row r="51" spans="1:19" ht="15" customHeight="1" x14ac:dyDescent="0.25">
      <c r="A51" s="65"/>
      <c r="B51" s="59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2"/>
    </row>
    <row r="52" spans="1:19" ht="15" customHeight="1" x14ac:dyDescent="0.25">
      <c r="A52" s="80"/>
      <c r="B52" s="54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6"/>
    </row>
    <row r="53" spans="1:19" x14ac:dyDescent="0.25">
      <c r="A53" s="66"/>
      <c r="S53" s="62"/>
    </row>
    <row r="54" spans="1:19" ht="15" customHeight="1" x14ac:dyDescent="0.25">
      <c r="A54" s="119" t="s">
        <v>163</v>
      </c>
      <c r="B54" s="118"/>
      <c r="C54" s="118"/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62"/>
    </row>
    <row r="55" spans="1:19" x14ac:dyDescent="0.25">
      <c r="A55" s="119"/>
      <c r="B55" s="118"/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62"/>
    </row>
    <row r="56" spans="1:19" x14ac:dyDescent="0.25">
      <c r="A56" s="119"/>
      <c r="B56" s="118"/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62"/>
    </row>
    <row r="57" spans="1:19" x14ac:dyDescent="0.25">
      <c r="A57" s="119"/>
      <c r="B57" s="118"/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62"/>
    </row>
    <row r="58" spans="1:19" x14ac:dyDescent="0.25">
      <c r="A58" s="119"/>
      <c r="B58" s="118"/>
      <c r="C58" s="118"/>
      <c r="D58" s="118"/>
      <c r="E58" s="118"/>
      <c r="F58" s="118"/>
      <c r="G58" s="118"/>
      <c r="H58" s="118"/>
      <c r="I58" s="118"/>
      <c r="J58" s="118"/>
      <c r="K58" s="118"/>
      <c r="L58" s="118"/>
      <c r="M58" s="118"/>
      <c r="N58" s="118"/>
      <c r="O58" s="118"/>
      <c r="P58" s="118"/>
      <c r="Q58" s="118"/>
      <c r="R58" s="118"/>
      <c r="S58" s="62"/>
    </row>
    <row r="59" spans="1:19" x14ac:dyDescent="0.25">
      <c r="A59" s="119"/>
      <c r="B59" s="118"/>
      <c r="C59" s="118"/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62"/>
    </row>
    <row r="60" spans="1:19" x14ac:dyDescent="0.25">
      <c r="A60" s="119"/>
      <c r="B60" s="118"/>
      <c r="C60" s="118"/>
      <c r="D60" s="118"/>
      <c r="E60" s="118"/>
      <c r="F60" s="118"/>
      <c r="G60" s="118"/>
      <c r="H60" s="118"/>
      <c r="I60" s="118"/>
      <c r="J60" s="118"/>
      <c r="K60" s="118"/>
      <c r="L60" s="118"/>
      <c r="M60" s="118"/>
      <c r="N60" s="118"/>
      <c r="O60" s="118"/>
      <c r="P60" s="118"/>
      <c r="Q60" s="118"/>
      <c r="R60" s="118"/>
      <c r="S60" s="62"/>
    </row>
    <row r="61" spans="1:19" x14ac:dyDescent="0.25">
      <c r="A61" s="119"/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62"/>
    </row>
    <row r="62" spans="1:19" x14ac:dyDescent="0.25">
      <c r="A62" s="119"/>
      <c r="B62" s="118"/>
      <c r="C62" s="118"/>
      <c r="D62" s="118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62"/>
    </row>
    <row r="63" spans="1:19" x14ac:dyDescent="0.25">
      <c r="A63" s="119"/>
      <c r="B63" s="118"/>
      <c r="C63" s="118"/>
      <c r="D63" s="118"/>
      <c r="E63" s="118"/>
      <c r="F63" s="118"/>
      <c r="G63" s="118"/>
      <c r="H63" s="118"/>
      <c r="I63" s="118"/>
      <c r="J63" s="118"/>
      <c r="K63" s="118"/>
      <c r="L63" s="118"/>
      <c r="M63" s="118"/>
      <c r="N63" s="118"/>
      <c r="O63" s="118"/>
      <c r="P63" s="118"/>
      <c r="Q63" s="118"/>
      <c r="R63" s="118"/>
      <c r="S63" s="62"/>
    </row>
    <row r="64" spans="1:19" x14ac:dyDescent="0.25">
      <c r="A64" s="119"/>
      <c r="B64" s="118"/>
      <c r="C64" s="118"/>
      <c r="D64" s="118"/>
      <c r="E64" s="118"/>
      <c r="F64" s="118"/>
      <c r="G64" s="118"/>
      <c r="H64" s="118"/>
      <c r="I64" s="118"/>
      <c r="J64" s="118"/>
      <c r="K64" s="118"/>
      <c r="L64" s="118"/>
      <c r="M64" s="118"/>
      <c r="N64" s="118"/>
      <c r="O64" s="118"/>
      <c r="P64" s="118"/>
      <c r="Q64" s="118"/>
      <c r="R64" s="118"/>
      <c r="S64" s="62"/>
    </row>
    <row r="65" spans="1:19" x14ac:dyDescent="0.25">
      <c r="A65" s="119"/>
      <c r="B65" s="118"/>
      <c r="C65" s="118"/>
      <c r="D65" s="118"/>
      <c r="E65" s="118"/>
      <c r="F65" s="118"/>
      <c r="G65" s="118"/>
      <c r="H65" s="118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62"/>
    </row>
    <row r="66" spans="1:19" x14ac:dyDescent="0.25">
      <c r="A66" s="119"/>
      <c r="B66" s="118"/>
      <c r="C66" s="118"/>
      <c r="D66" s="118"/>
      <c r="E66" s="118"/>
      <c r="F66" s="118"/>
      <c r="G66" s="118"/>
      <c r="H66" s="118"/>
      <c r="I66" s="118"/>
      <c r="J66" s="118"/>
      <c r="K66" s="118"/>
      <c r="L66" s="118"/>
      <c r="M66" s="118"/>
      <c r="N66" s="118"/>
      <c r="O66" s="118"/>
      <c r="P66" s="118"/>
      <c r="Q66" s="118"/>
      <c r="R66" s="118"/>
      <c r="S66" s="62"/>
    </row>
    <row r="67" spans="1:19" x14ac:dyDescent="0.25">
      <c r="A67" s="119"/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62"/>
    </row>
    <row r="68" spans="1:19" x14ac:dyDescent="0.25">
      <c r="A68" s="119"/>
      <c r="B68" s="118"/>
      <c r="C68" s="118"/>
      <c r="D68" s="118"/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118"/>
      <c r="Q68" s="118"/>
      <c r="R68" s="118"/>
      <c r="S68" s="62"/>
    </row>
    <row r="69" spans="1:19" x14ac:dyDescent="0.25">
      <c r="A69" s="119"/>
      <c r="B69" s="118"/>
      <c r="C69" s="118"/>
      <c r="D69" s="118"/>
      <c r="E69" s="118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118"/>
      <c r="Q69" s="118"/>
      <c r="R69" s="118"/>
      <c r="S69" s="62"/>
    </row>
    <row r="70" spans="1:19" x14ac:dyDescent="0.25">
      <c r="A70" s="119"/>
      <c r="B70" s="118"/>
      <c r="C70" s="118"/>
      <c r="D70" s="118"/>
      <c r="E70" s="118"/>
      <c r="F70" s="118"/>
      <c r="G70" s="118"/>
      <c r="H70" s="118"/>
      <c r="I70" s="118"/>
      <c r="J70" s="118"/>
      <c r="K70" s="118"/>
      <c r="L70" s="118"/>
      <c r="M70" s="118"/>
      <c r="N70" s="118"/>
      <c r="O70" s="118"/>
      <c r="P70" s="118"/>
      <c r="Q70" s="118"/>
      <c r="R70" s="118"/>
      <c r="S70" s="62"/>
    </row>
    <row r="71" spans="1:19" x14ac:dyDescent="0.25">
      <c r="A71" s="119"/>
      <c r="B71" s="118"/>
      <c r="C71" s="118"/>
      <c r="D71" s="118"/>
      <c r="E71" s="118"/>
      <c r="F71" s="118"/>
      <c r="G71" s="118"/>
      <c r="H71" s="118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62"/>
    </row>
    <row r="72" spans="1:19" x14ac:dyDescent="0.25">
      <c r="A72" s="119"/>
      <c r="B72" s="118"/>
      <c r="C72" s="118"/>
      <c r="D72" s="118"/>
      <c r="E72" s="118"/>
      <c r="F72" s="118"/>
      <c r="G72" s="118"/>
      <c r="H72" s="118"/>
      <c r="I72" s="118"/>
      <c r="J72" s="118"/>
      <c r="K72" s="118"/>
      <c r="L72" s="118"/>
      <c r="M72" s="118"/>
      <c r="N72" s="118"/>
      <c r="O72" s="118"/>
      <c r="P72" s="118"/>
      <c r="Q72" s="118"/>
      <c r="R72" s="118"/>
      <c r="S72" s="62"/>
    </row>
    <row r="73" spans="1:19" x14ac:dyDescent="0.25">
      <c r="A73" s="119"/>
      <c r="B73" s="118"/>
      <c r="C73" s="118"/>
      <c r="D73" s="118"/>
      <c r="E73" s="118"/>
      <c r="F73" s="118"/>
      <c r="G73" s="118"/>
      <c r="H73" s="118"/>
      <c r="I73" s="118"/>
      <c r="J73" s="118"/>
      <c r="K73" s="118"/>
      <c r="L73" s="118"/>
      <c r="M73" s="118"/>
      <c r="N73" s="118"/>
      <c r="O73" s="118"/>
      <c r="P73" s="118"/>
      <c r="Q73" s="118"/>
      <c r="R73" s="118"/>
      <c r="S73" s="62"/>
    </row>
    <row r="74" spans="1:19" x14ac:dyDescent="0.25">
      <c r="A74" s="119"/>
      <c r="B74" s="118"/>
      <c r="C74" s="118"/>
      <c r="D74" s="118"/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62"/>
    </row>
    <row r="75" spans="1:19" x14ac:dyDescent="0.25">
      <c r="A75" s="119"/>
      <c r="B75" s="118"/>
      <c r="C75" s="118"/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62"/>
    </row>
    <row r="76" spans="1:19" x14ac:dyDescent="0.25">
      <c r="A76" s="119"/>
      <c r="B76" s="118"/>
      <c r="C76" s="118"/>
      <c r="D76" s="118"/>
      <c r="E76" s="118"/>
      <c r="F76" s="118"/>
      <c r="G76" s="118"/>
      <c r="H76" s="118"/>
      <c r="I76" s="118"/>
      <c r="J76" s="118"/>
      <c r="K76" s="118"/>
      <c r="L76" s="118"/>
      <c r="M76" s="118"/>
      <c r="N76" s="118"/>
      <c r="O76" s="118"/>
      <c r="P76" s="118"/>
      <c r="Q76" s="118"/>
      <c r="R76" s="118"/>
      <c r="S76" s="62"/>
    </row>
    <row r="77" spans="1:19" x14ac:dyDescent="0.25">
      <c r="A77" s="119"/>
      <c r="B77" s="118"/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62"/>
    </row>
    <row r="78" spans="1:19" x14ac:dyDescent="0.25">
      <c r="A78" s="119"/>
      <c r="B78" s="118"/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62"/>
    </row>
    <row r="79" spans="1:19" x14ac:dyDescent="0.25">
      <c r="A79" s="119"/>
      <c r="B79" s="118"/>
      <c r="C79" s="118"/>
      <c r="D79" s="118"/>
      <c r="E79" s="118"/>
      <c r="F79" s="118"/>
      <c r="G79" s="118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62"/>
    </row>
    <row r="80" spans="1:19" x14ac:dyDescent="0.25">
      <c r="A80" s="119"/>
      <c r="B80" s="118"/>
      <c r="C80" s="118"/>
      <c r="D80" s="118"/>
      <c r="E80" s="118"/>
      <c r="F80" s="118"/>
      <c r="G80" s="118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62"/>
    </row>
    <row r="81" spans="1:19" x14ac:dyDescent="0.25">
      <c r="A81" s="119"/>
      <c r="B81" s="118"/>
      <c r="C81" s="118"/>
      <c r="D81" s="118"/>
      <c r="E81" s="118"/>
      <c r="F81" s="118"/>
      <c r="G81" s="118"/>
      <c r="H81" s="118"/>
      <c r="I81" s="118"/>
      <c r="J81" s="118"/>
      <c r="K81" s="118"/>
      <c r="L81" s="118"/>
      <c r="M81" s="118"/>
      <c r="N81" s="118"/>
      <c r="O81" s="118"/>
      <c r="P81" s="118"/>
      <c r="Q81" s="118"/>
      <c r="R81" s="118"/>
      <c r="S81" s="62"/>
    </row>
    <row r="82" spans="1:19" x14ac:dyDescent="0.25">
      <c r="A82" s="119"/>
      <c r="B82" s="118"/>
      <c r="C82" s="118"/>
      <c r="D82" s="118"/>
      <c r="E82" s="118"/>
      <c r="F82" s="118"/>
      <c r="G82" s="118"/>
      <c r="H82" s="118"/>
      <c r="I82" s="118"/>
      <c r="J82" s="118"/>
      <c r="K82" s="118"/>
      <c r="L82" s="118"/>
      <c r="M82" s="118"/>
      <c r="N82" s="118"/>
      <c r="O82" s="118"/>
      <c r="P82" s="118"/>
      <c r="Q82" s="118"/>
      <c r="R82" s="118"/>
      <c r="S82" s="62"/>
    </row>
    <row r="83" spans="1:19" x14ac:dyDescent="0.25">
      <c r="A83" s="119"/>
      <c r="B83" s="118"/>
      <c r="C83" s="118"/>
      <c r="D83" s="118"/>
      <c r="E83" s="118"/>
      <c r="F83" s="118"/>
      <c r="G83" s="118"/>
      <c r="H83" s="118"/>
      <c r="I83" s="118"/>
      <c r="J83" s="118"/>
      <c r="K83" s="118"/>
      <c r="L83" s="118"/>
      <c r="M83" s="118"/>
      <c r="N83" s="118"/>
      <c r="O83" s="118"/>
      <c r="P83" s="118"/>
      <c r="Q83" s="118"/>
      <c r="R83" s="118"/>
      <c r="S83" s="62"/>
    </row>
    <row r="84" spans="1:19" x14ac:dyDescent="0.25">
      <c r="A84" s="119"/>
      <c r="B84" s="118"/>
      <c r="C84" s="118"/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118"/>
      <c r="Q84" s="118"/>
      <c r="R84" s="118"/>
      <c r="S84" s="62"/>
    </row>
    <row r="85" spans="1:19" x14ac:dyDescent="0.25">
      <c r="A85" s="119"/>
      <c r="B85" s="118"/>
      <c r="C85" s="118"/>
      <c r="D85" s="118"/>
      <c r="E85" s="118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118"/>
      <c r="Q85" s="118"/>
      <c r="R85" s="118"/>
      <c r="S85" s="62"/>
    </row>
    <row r="86" spans="1:19" x14ac:dyDescent="0.25">
      <c r="A86" s="119"/>
      <c r="B86" s="118"/>
      <c r="C86" s="118"/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8"/>
      <c r="Q86" s="118"/>
      <c r="R86" s="118"/>
      <c r="S86" s="62"/>
    </row>
    <row r="87" spans="1:19" x14ac:dyDescent="0.25">
      <c r="A87" s="119"/>
      <c r="B87" s="118"/>
      <c r="C87" s="118"/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118"/>
      <c r="Q87" s="118"/>
      <c r="R87" s="118"/>
      <c r="S87" s="62"/>
    </row>
    <row r="88" spans="1:19" x14ac:dyDescent="0.25">
      <c r="A88" s="119"/>
      <c r="B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62"/>
    </row>
    <row r="89" spans="1:19" x14ac:dyDescent="0.25">
      <c r="A89" s="119"/>
      <c r="B89" s="11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18"/>
      <c r="O89" s="118"/>
      <c r="P89" s="118"/>
      <c r="Q89" s="118"/>
      <c r="R89" s="118"/>
      <c r="S89" s="62"/>
    </row>
    <row r="90" spans="1:19" x14ac:dyDescent="0.25">
      <c r="A90" s="119"/>
      <c r="B90" s="118"/>
      <c r="C90" s="118"/>
      <c r="D90" s="118"/>
      <c r="E90" s="118"/>
      <c r="F90" s="118"/>
      <c r="G90" s="118"/>
      <c r="H90" s="118"/>
      <c r="I90" s="118"/>
      <c r="J90" s="118"/>
      <c r="K90" s="118"/>
      <c r="L90" s="118"/>
      <c r="M90" s="118"/>
      <c r="N90" s="118"/>
      <c r="O90" s="118"/>
      <c r="P90" s="118"/>
      <c r="Q90" s="118"/>
      <c r="R90" s="118"/>
      <c r="S90" s="72"/>
    </row>
    <row r="91" spans="1:19" x14ac:dyDescent="0.25">
      <c r="A91" s="119"/>
      <c r="B91" s="118"/>
      <c r="C91" s="118"/>
      <c r="D91" s="118"/>
      <c r="E91" s="118"/>
      <c r="F91" s="118"/>
      <c r="G91" s="118"/>
      <c r="H91" s="118"/>
      <c r="I91" s="118"/>
      <c r="J91" s="118"/>
      <c r="K91" s="118"/>
      <c r="L91" s="118"/>
      <c r="M91" s="118"/>
      <c r="N91" s="118"/>
      <c r="O91" s="118"/>
      <c r="P91" s="118"/>
      <c r="Q91" s="118"/>
      <c r="R91" s="118"/>
      <c r="S91" s="70"/>
    </row>
    <row r="92" spans="1:19" ht="15" customHeight="1" x14ac:dyDescent="0.25">
      <c r="A92" s="119"/>
      <c r="B92" s="118"/>
      <c r="C92" s="118"/>
      <c r="D92" s="118"/>
      <c r="E92" s="118"/>
      <c r="F92" s="118"/>
      <c r="G92" s="118"/>
      <c r="H92" s="118"/>
      <c r="I92" s="118"/>
      <c r="J92" s="118"/>
      <c r="K92" s="118"/>
      <c r="L92" s="118"/>
      <c r="M92" s="118"/>
      <c r="N92" s="118"/>
      <c r="O92" s="118"/>
      <c r="P92" s="118"/>
      <c r="Q92" s="118"/>
      <c r="R92" s="118"/>
      <c r="S92" s="70"/>
    </row>
    <row r="93" spans="1:19" ht="15" customHeight="1" x14ac:dyDescent="0.25">
      <c r="A93" s="64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70"/>
    </row>
    <row r="94" spans="1:19" ht="15" customHeight="1" x14ac:dyDescent="0.25">
      <c r="A94" s="64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70"/>
    </row>
    <row r="95" spans="1:19" ht="15" customHeight="1" x14ac:dyDescent="0.25">
      <c r="A95" s="80"/>
      <c r="B95" s="54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77"/>
    </row>
    <row r="96" spans="1:19" ht="15" customHeight="1" x14ac:dyDescent="0.25">
      <c r="A96" s="65"/>
      <c r="B96" s="54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70"/>
    </row>
    <row r="97" spans="1:19" ht="15" customHeight="1" x14ac:dyDescent="0.25">
      <c r="A97" s="65"/>
      <c r="B97" s="125"/>
      <c r="C97" s="125"/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70"/>
    </row>
    <row r="98" spans="1:19" x14ac:dyDescent="0.25">
      <c r="A98" s="71"/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70"/>
    </row>
    <row r="99" spans="1:19" ht="15" customHeight="1" x14ac:dyDescent="0.25">
      <c r="A99" s="124"/>
      <c r="B99" s="125"/>
      <c r="C99" s="125"/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62"/>
    </row>
    <row r="100" spans="1:19" x14ac:dyDescent="0.25">
      <c r="A100" s="124"/>
      <c r="B100" s="125"/>
      <c r="C100" s="125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62"/>
    </row>
    <row r="101" spans="1:19" x14ac:dyDescent="0.25">
      <c r="A101" s="124"/>
      <c r="B101" s="125"/>
      <c r="C101" s="125"/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62"/>
    </row>
    <row r="102" spans="1:19" x14ac:dyDescent="0.25">
      <c r="A102" s="124"/>
      <c r="B102" s="125"/>
      <c r="C102" s="125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62"/>
    </row>
    <row r="103" spans="1:19" x14ac:dyDescent="0.25">
      <c r="A103" s="124"/>
      <c r="B103" s="125"/>
      <c r="C103" s="125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62"/>
    </row>
    <row r="104" spans="1:19" x14ac:dyDescent="0.25">
      <c r="A104" s="124"/>
      <c r="B104" s="125"/>
      <c r="C104" s="125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62"/>
    </row>
    <row r="105" spans="1:19" x14ac:dyDescent="0.25">
      <c r="A105" s="124"/>
      <c r="B105" s="125"/>
      <c r="C105" s="125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62"/>
    </row>
    <row r="106" spans="1:19" x14ac:dyDescent="0.25">
      <c r="A106" s="124"/>
      <c r="B106" s="125"/>
      <c r="C106" s="125"/>
      <c r="D106" s="125"/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62"/>
    </row>
    <row r="107" spans="1:19" x14ac:dyDescent="0.25">
      <c r="A107" s="124"/>
      <c r="B107" s="125"/>
      <c r="C107" s="125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62"/>
    </row>
    <row r="108" spans="1:19" x14ac:dyDescent="0.25">
      <c r="A108" s="124"/>
      <c r="B108" s="125"/>
      <c r="C108" s="125"/>
      <c r="D108" s="125"/>
      <c r="E108" s="125"/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62"/>
    </row>
    <row r="109" spans="1:19" x14ac:dyDescent="0.25">
      <c r="A109" s="124"/>
      <c r="B109" s="125"/>
      <c r="C109" s="125"/>
      <c r="D109" s="125"/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62"/>
    </row>
    <row r="110" spans="1:19" x14ac:dyDescent="0.25">
      <c r="A110" s="124"/>
      <c r="B110" s="125"/>
      <c r="C110" s="125"/>
      <c r="D110" s="125"/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62"/>
    </row>
    <row r="111" spans="1:19" x14ac:dyDescent="0.25">
      <c r="A111" s="124"/>
      <c r="B111" s="125"/>
      <c r="C111" s="125"/>
      <c r="D111" s="125"/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62"/>
    </row>
    <row r="112" spans="1:19" x14ac:dyDescent="0.25">
      <c r="A112" s="124"/>
      <c r="B112" s="125"/>
      <c r="C112" s="125"/>
      <c r="D112" s="125"/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62"/>
    </row>
    <row r="113" spans="1:19" x14ac:dyDescent="0.25">
      <c r="A113" s="124"/>
      <c r="B113" s="125"/>
      <c r="C113" s="125"/>
      <c r="D113" s="125"/>
      <c r="E113" s="125"/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62"/>
    </row>
    <row r="114" spans="1:19" x14ac:dyDescent="0.25">
      <c r="A114" s="124"/>
      <c r="B114" s="125"/>
      <c r="C114" s="125"/>
      <c r="D114" s="125"/>
      <c r="E114" s="125"/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62"/>
    </row>
    <row r="115" spans="1:19" x14ac:dyDescent="0.25">
      <c r="A115" s="124"/>
      <c r="B115" s="125"/>
      <c r="C115" s="125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62"/>
    </row>
    <row r="116" spans="1:19" x14ac:dyDescent="0.25">
      <c r="A116" s="124"/>
      <c r="B116" s="125"/>
      <c r="C116" s="125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62"/>
    </row>
    <row r="117" spans="1:19" x14ac:dyDescent="0.25">
      <c r="A117" s="124"/>
      <c r="B117" s="125"/>
      <c r="C117" s="125"/>
      <c r="D117" s="125"/>
      <c r="E117" s="125"/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62"/>
    </row>
    <row r="118" spans="1:19" x14ac:dyDescent="0.25">
      <c r="A118" s="124"/>
      <c r="B118" s="125"/>
      <c r="C118" s="125"/>
      <c r="D118" s="125"/>
      <c r="E118" s="125"/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62"/>
    </row>
    <row r="119" spans="1:19" x14ac:dyDescent="0.25">
      <c r="A119" s="124"/>
      <c r="B119" s="125"/>
      <c r="C119" s="125"/>
      <c r="D119" s="125"/>
      <c r="E119" s="125"/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62"/>
    </row>
    <row r="120" spans="1:19" x14ac:dyDescent="0.25">
      <c r="A120" s="124"/>
      <c r="B120" s="125"/>
      <c r="C120" s="125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62"/>
    </row>
    <row r="121" spans="1:19" x14ac:dyDescent="0.25">
      <c r="A121" s="124"/>
      <c r="B121" s="125"/>
      <c r="C121" s="125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62"/>
    </row>
    <row r="122" spans="1:19" x14ac:dyDescent="0.25">
      <c r="A122" s="124"/>
      <c r="B122" s="125"/>
      <c r="C122" s="125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62"/>
    </row>
    <row r="123" spans="1:19" x14ac:dyDescent="0.25">
      <c r="A123" s="124"/>
      <c r="B123" s="125"/>
      <c r="C123" s="125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62"/>
    </row>
    <row r="124" spans="1:19" x14ac:dyDescent="0.25">
      <c r="A124" s="124"/>
      <c r="B124" s="125"/>
      <c r="C124" s="125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62"/>
    </row>
    <row r="125" spans="1:19" x14ac:dyDescent="0.25">
      <c r="A125" s="124"/>
      <c r="B125" s="125"/>
      <c r="C125" s="125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62"/>
    </row>
    <row r="126" spans="1:19" x14ac:dyDescent="0.25">
      <c r="A126" s="124"/>
      <c r="B126" s="125"/>
      <c r="C126" s="125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62"/>
    </row>
    <row r="127" spans="1:19" x14ac:dyDescent="0.25">
      <c r="A127" s="124"/>
      <c r="B127" s="125"/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62"/>
    </row>
    <row r="128" spans="1:19" x14ac:dyDescent="0.25">
      <c r="A128" s="124"/>
      <c r="B128" s="125"/>
      <c r="C128" s="125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62"/>
    </row>
    <row r="129" spans="1:19" x14ac:dyDescent="0.25">
      <c r="A129" s="124"/>
      <c r="B129" s="125"/>
      <c r="C129" s="125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62"/>
    </row>
    <row r="130" spans="1:19" x14ac:dyDescent="0.25">
      <c r="A130" s="124"/>
      <c r="B130" s="125"/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62"/>
    </row>
    <row r="131" spans="1:19" x14ac:dyDescent="0.25">
      <c r="A131" s="124"/>
      <c r="B131" s="125"/>
      <c r="C131" s="125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62"/>
    </row>
    <row r="132" spans="1:19" x14ac:dyDescent="0.25">
      <c r="A132" s="67"/>
      <c r="B132" s="125"/>
      <c r="C132" s="125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62"/>
    </row>
    <row r="133" spans="1:19" x14ac:dyDescent="0.25">
      <c r="A133" s="67"/>
      <c r="B133" s="125"/>
      <c r="C133" s="125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62"/>
    </row>
    <row r="134" spans="1:19" x14ac:dyDescent="0.25">
      <c r="A134" s="67"/>
      <c r="B134" s="125"/>
      <c r="C134" s="125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62"/>
    </row>
    <row r="135" spans="1:19" x14ac:dyDescent="0.25">
      <c r="A135" s="67"/>
      <c r="B135" s="125"/>
      <c r="C135" s="125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62"/>
    </row>
    <row r="136" spans="1:19" x14ac:dyDescent="0.25">
      <c r="A136" s="66"/>
      <c r="S136" s="62"/>
    </row>
    <row r="137" spans="1:19" ht="15" customHeight="1" x14ac:dyDescent="0.25">
      <c r="A137" s="64"/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62"/>
    </row>
    <row r="138" spans="1:19" ht="15" customHeight="1" x14ac:dyDescent="0.25">
      <c r="A138" s="64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62"/>
    </row>
    <row r="139" spans="1:19" ht="15" customHeight="1" x14ac:dyDescent="0.25">
      <c r="A139" s="64"/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62"/>
    </row>
    <row r="140" spans="1:19" ht="15" customHeight="1" x14ac:dyDescent="0.25">
      <c r="A140" s="65"/>
      <c r="B140" s="54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72"/>
    </row>
    <row r="141" spans="1:19" ht="15" customHeight="1" x14ac:dyDescent="0.25">
      <c r="A141" s="65"/>
      <c r="B141" s="54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72"/>
    </row>
    <row r="142" spans="1:19" ht="15" customHeight="1" x14ac:dyDescent="0.25">
      <c r="A142" s="85"/>
      <c r="B142" s="86"/>
      <c r="C142" s="87"/>
      <c r="D142" s="87"/>
      <c r="E142" s="87"/>
      <c r="F142" s="87"/>
      <c r="G142" s="87"/>
      <c r="H142" s="87"/>
      <c r="I142" s="87"/>
      <c r="J142" s="87"/>
      <c r="K142" s="87"/>
      <c r="L142" s="87"/>
      <c r="M142" s="87"/>
      <c r="N142" s="87"/>
      <c r="O142" s="87"/>
      <c r="P142" s="87"/>
      <c r="Q142" s="87"/>
      <c r="R142" s="87"/>
      <c r="S142" s="78"/>
    </row>
    <row r="143" spans="1:19" x14ac:dyDescent="0.25">
      <c r="A143" s="79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ht="15" customHeight="1" x14ac:dyDescent="0.25">
      <c r="A144" s="123"/>
      <c r="B144" s="84"/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</row>
    <row r="145" spans="1:18" x14ac:dyDescent="0.25">
      <c r="A145" s="123"/>
      <c r="B145" s="84"/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</row>
    <row r="146" spans="1:18" x14ac:dyDescent="0.25">
      <c r="A146" s="123"/>
      <c r="B146" s="84"/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</row>
    <row r="147" spans="1:18" x14ac:dyDescent="0.25">
      <c r="A147" s="123"/>
      <c r="B147" s="84"/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</row>
    <row r="148" spans="1:18" x14ac:dyDescent="0.25">
      <c r="A148" s="123"/>
      <c r="B148" s="84"/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</row>
    <row r="149" spans="1:18" x14ac:dyDescent="0.25">
      <c r="A149" s="123"/>
      <c r="B149" s="84"/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</row>
    <row r="150" spans="1:18" x14ac:dyDescent="0.25">
      <c r="A150" s="123"/>
      <c r="B150" s="84"/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</row>
    <row r="151" spans="1:18" x14ac:dyDescent="0.25">
      <c r="A151" s="123"/>
      <c r="B151" s="84"/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</row>
    <row r="152" spans="1:18" x14ac:dyDescent="0.25">
      <c r="A152" s="123"/>
      <c r="B152" s="84"/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</row>
    <row r="153" spans="1:18" x14ac:dyDescent="0.25">
      <c r="A153" s="123"/>
      <c r="B153" s="84"/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</row>
    <row r="154" spans="1:18" x14ac:dyDescent="0.25">
      <c r="A154" s="123"/>
      <c r="B154" s="84"/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</row>
    <row r="155" spans="1:18" x14ac:dyDescent="0.25">
      <c r="A155" s="123"/>
      <c r="B155" s="84"/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</row>
    <row r="156" spans="1:18" x14ac:dyDescent="0.25">
      <c r="A156" s="123"/>
      <c r="B156" s="84"/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</row>
    <row r="157" spans="1:18" x14ac:dyDescent="0.25">
      <c r="A157" s="123"/>
      <c r="B157" s="84"/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</row>
    <row r="158" spans="1:18" x14ac:dyDescent="0.25">
      <c r="A158" s="123"/>
      <c r="B158" s="84"/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</row>
    <row r="159" spans="1:18" x14ac:dyDescent="0.25">
      <c r="A159" s="123"/>
      <c r="B159" s="84"/>
      <c r="C159" s="84"/>
      <c r="D159" s="84"/>
      <c r="E159" s="84"/>
      <c r="F159" s="8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4"/>
    </row>
    <row r="160" spans="1:18" x14ac:dyDescent="0.25">
      <c r="A160" s="123"/>
      <c r="B160" s="84"/>
      <c r="C160" s="84"/>
      <c r="D160" s="84"/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</row>
    <row r="161" spans="1:18" x14ac:dyDescent="0.25">
      <c r="A161" s="123"/>
      <c r="B161" s="84"/>
      <c r="C161" s="84"/>
      <c r="D161" s="84"/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</row>
    <row r="162" spans="1:18" x14ac:dyDescent="0.25">
      <c r="A162" s="123"/>
      <c r="B162" s="84"/>
      <c r="C162" s="84"/>
      <c r="D162" s="84"/>
      <c r="E162" s="84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</row>
    <row r="163" spans="1:18" x14ac:dyDescent="0.25">
      <c r="A163" s="123"/>
      <c r="B163" s="84"/>
      <c r="C163" s="84"/>
      <c r="D163" s="84"/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</row>
    <row r="164" spans="1:18" x14ac:dyDescent="0.25">
      <c r="A164" s="123"/>
      <c r="B164" s="84"/>
      <c r="C164" s="84"/>
      <c r="D164" s="84"/>
      <c r="E164" s="84"/>
      <c r="F164" s="84"/>
      <c r="G164" s="84"/>
      <c r="H164" s="84"/>
      <c r="I164" s="84"/>
      <c r="J164" s="84"/>
      <c r="K164" s="84"/>
      <c r="L164" s="84"/>
      <c r="M164" s="84"/>
      <c r="N164" s="84"/>
      <c r="O164" s="84"/>
      <c r="P164" s="84"/>
      <c r="Q164" s="84"/>
      <c r="R164" s="84"/>
    </row>
    <row r="165" spans="1:18" x14ac:dyDescent="0.25">
      <c r="A165" s="123"/>
      <c r="B165" s="84"/>
      <c r="C165" s="84"/>
      <c r="D165" s="84"/>
      <c r="E165" s="84"/>
      <c r="F165" s="84"/>
      <c r="G165" s="84"/>
      <c r="H165" s="84"/>
      <c r="I165" s="84"/>
      <c r="J165" s="84"/>
      <c r="K165" s="84"/>
      <c r="L165" s="84"/>
      <c r="M165" s="84"/>
      <c r="N165" s="84"/>
      <c r="O165" s="84"/>
      <c r="P165" s="84"/>
      <c r="Q165" s="84"/>
      <c r="R165" s="84"/>
    </row>
    <row r="166" spans="1:18" x14ac:dyDescent="0.25">
      <c r="A166" s="123"/>
      <c r="B166" s="84"/>
      <c r="C166" s="84"/>
      <c r="D166" s="84"/>
      <c r="E166" s="84"/>
      <c r="F166" s="84"/>
      <c r="G166" s="84"/>
      <c r="H166" s="84"/>
      <c r="I166" s="84"/>
      <c r="J166" s="84"/>
      <c r="K166" s="84"/>
      <c r="L166" s="84"/>
      <c r="M166" s="84"/>
      <c r="N166" s="84"/>
      <c r="O166" s="84"/>
      <c r="P166" s="84"/>
      <c r="Q166" s="84"/>
      <c r="R166" s="84"/>
    </row>
    <row r="167" spans="1:18" x14ac:dyDescent="0.25">
      <c r="A167" s="123"/>
      <c r="B167" s="84"/>
      <c r="C167" s="84"/>
      <c r="D167" s="84"/>
      <c r="E167" s="84"/>
      <c r="F167" s="84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  <c r="R167" s="84"/>
    </row>
    <row r="168" spans="1:18" x14ac:dyDescent="0.25">
      <c r="A168" s="123"/>
      <c r="B168" s="84"/>
      <c r="C168" s="84"/>
      <c r="D168" s="84"/>
      <c r="E168" s="84"/>
      <c r="F168" s="84"/>
      <c r="G168" s="84"/>
      <c r="H168" s="84"/>
      <c r="I168" s="84"/>
      <c r="J168" s="84"/>
      <c r="K168" s="84"/>
      <c r="L168" s="84"/>
      <c r="M168" s="84"/>
      <c r="N168" s="84"/>
      <c r="O168" s="84"/>
      <c r="P168" s="84"/>
      <c r="Q168" s="84"/>
      <c r="R168" s="84"/>
    </row>
    <row r="169" spans="1:18" x14ac:dyDescent="0.25">
      <c r="A169" s="123"/>
      <c r="B169" s="84"/>
      <c r="C169" s="84"/>
      <c r="D169" s="84"/>
      <c r="E169" s="84"/>
      <c r="F169" s="84"/>
      <c r="G169" s="84"/>
      <c r="H169" s="84"/>
      <c r="I169" s="84"/>
      <c r="J169" s="84"/>
      <c r="K169" s="84"/>
      <c r="L169" s="84"/>
      <c r="M169" s="84"/>
      <c r="N169" s="84"/>
      <c r="O169" s="84"/>
      <c r="P169" s="84"/>
      <c r="Q169" s="84"/>
      <c r="R169" s="84"/>
    </row>
    <row r="170" spans="1:18" x14ac:dyDescent="0.25">
      <c r="A170" s="123"/>
      <c r="B170" s="84"/>
      <c r="C170" s="84"/>
      <c r="D170" s="84"/>
      <c r="E170" s="84"/>
      <c r="F170" s="84"/>
      <c r="G170" s="84"/>
      <c r="H170" s="84"/>
      <c r="I170" s="84"/>
      <c r="J170" s="84"/>
      <c r="K170" s="84"/>
      <c r="L170" s="84"/>
      <c r="M170" s="84"/>
      <c r="N170" s="84"/>
      <c r="O170" s="84"/>
      <c r="P170" s="84"/>
      <c r="Q170" s="84"/>
      <c r="R170" s="84"/>
    </row>
    <row r="171" spans="1:18" x14ac:dyDescent="0.25">
      <c r="A171" s="123"/>
      <c r="B171" s="84"/>
      <c r="C171" s="84"/>
      <c r="D171" s="84"/>
      <c r="E171" s="8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4"/>
    </row>
    <row r="172" spans="1:18" x14ac:dyDescent="0.25">
      <c r="A172" s="123"/>
      <c r="B172" s="84"/>
      <c r="C172" s="84"/>
      <c r="D172" s="84"/>
      <c r="E172" s="84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4"/>
    </row>
    <row r="173" spans="1:18" x14ac:dyDescent="0.25">
      <c r="A173" s="123"/>
      <c r="B173" s="84"/>
      <c r="C173" s="84"/>
      <c r="D173" s="84"/>
      <c r="E173" s="84"/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  <c r="R173" s="84"/>
    </row>
    <row r="174" spans="1:18" x14ac:dyDescent="0.25">
      <c r="A174" s="123"/>
      <c r="B174" s="84"/>
      <c r="C174" s="84"/>
      <c r="D174" s="84"/>
      <c r="E174" s="84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  <c r="R174" s="84"/>
    </row>
    <row r="175" spans="1:18" x14ac:dyDescent="0.25">
      <c r="A175" s="123"/>
      <c r="B175" s="84"/>
      <c r="C175" s="84"/>
      <c r="D175" s="84"/>
      <c r="E175" s="84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84"/>
    </row>
    <row r="176" spans="1:18" x14ac:dyDescent="0.25">
      <c r="A176" s="123"/>
      <c r="B176" s="84"/>
      <c r="C176" s="84"/>
      <c r="D176" s="84"/>
      <c r="E176" s="84"/>
      <c r="F176" s="84"/>
      <c r="G176" s="84"/>
      <c r="H176" s="84"/>
      <c r="I176" s="84"/>
      <c r="J176" s="84"/>
      <c r="K176" s="84"/>
      <c r="L176" s="84"/>
      <c r="M176" s="84"/>
      <c r="N176" s="84"/>
      <c r="O176" s="84"/>
      <c r="P176" s="84"/>
      <c r="Q176" s="84"/>
      <c r="R176" s="84"/>
    </row>
    <row r="181" spans="1:18" x14ac:dyDescent="0.25">
      <c r="A181" s="11"/>
    </row>
    <row r="182" spans="1:18" ht="15" customHeight="1" x14ac:dyDescent="0.25">
      <c r="A182" s="68"/>
      <c r="B182" s="126"/>
      <c r="C182" s="126"/>
      <c r="D182" s="126"/>
      <c r="E182" s="126"/>
      <c r="F182" s="126"/>
      <c r="G182" s="126"/>
      <c r="H182" s="126"/>
      <c r="I182" s="126"/>
      <c r="J182" s="126"/>
      <c r="K182" s="126"/>
      <c r="L182" s="126"/>
      <c r="M182" s="126"/>
      <c r="N182" s="126"/>
      <c r="O182" s="126"/>
      <c r="P182" s="126"/>
      <c r="Q182" s="126"/>
      <c r="R182" s="126"/>
    </row>
    <row r="183" spans="1:18" ht="15" customHeight="1" x14ac:dyDescent="0.25">
      <c r="A183" s="68"/>
      <c r="B183" s="126"/>
      <c r="C183" s="126"/>
      <c r="D183" s="126"/>
      <c r="E183" s="126"/>
      <c r="F183" s="126"/>
      <c r="G183" s="126"/>
      <c r="H183" s="126"/>
      <c r="I183" s="126"/>
      <c r="J183" s="126"/>
      <c r="K183" s="126"/>
      <c r="L183" s="126"/>
      <c r="M183" s="126"/>
      <c r="N183" s="126"/>
      <c r="O183" s="126"/>
      <c r="P183" s="126"/>
      <c r="Q183" s="126"/>
      <c r="R183" s="126"/>
    </row>
    <row r="184" spans="1:18" ht="15" customHeight="1" x14ac:dyDescent="0.25">
      <c r="A184" s="68"/>
      <c r="B184" s="126"/>
      <c r="C184" s="126"/>
      <c r="D184" s="126"/>
      <c r="E184" s="126"/>
      <c r="F184" s="126"/>
      <c r="G184" s="126"/>
      <c r="H184" s="126"/>
      <c r="I184" s="126"/>
      <c r="J184" s="126"/>
      <c r="K184" s="126"/>
      <c r="L184" s="126"/>
      <c r="M184" s="126"/>
      <c r="N184" s="126"/>
      <c r="O184" s="126"/>
      <c r="P184" s="126"/>
      <c r="Q184" s="126"/>
      <c r="R184" s="126"/>
    </row>
    <row r="185" spans="1:18" ht="15" customHeight="1" x14ac:dyDescent="0.25">
      <c r="A185" s="120"/>
      <c r="B185" s="121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</row>
    <row r="186" spans="1:18" ht="15" customHeight="1" x14ac:dyDescent="0.25">
      <c r="A186" s="120"/>
      <c r="B186" s="121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</row>
    <row r="187" spans="1:18" ht="15" customHeight="1" x14ac:dyDescent="0.25">
      <c r="A187" s="120"/>
      <c r="B187" s="121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</row>
    <row r="188" spans="1:18" x14ac:dyDescent="0.25">
      <c r="A188" s="11"/>
    </row>
    <row r="189" spans="1:18" ht="15" customHeight="1" x14ac:dyDescent="0.25">
      <c r="A189" s="123"/>
      <c r="B189" s="84"/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</row>
    <row r="190" spans="1:18" x14ac:dyDescent="0.25">
      <c r="A190" s="123"/>
      <c r="B190" s="84"/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</row>
    <row r="191" spans="1:18" x14ac:dyDescent="0.25">
      <c r="A191" s="123"/>
      <c r="B191" s="84"/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</row>
    <row r="192" spans="1:18" x14ac:dyDescent="0.25">
      <c r="A192" s="123"/>
      <c r="B192" s="84"/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</row>
    <row r="193" spans="1:18" x14ac:dyDescent="0.25">
      <c r="A193" s="123"/>
      <c r="B193" s="84"/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</row>
    <row r="194" spans="1:18" x14ac:dyDescent="0.25">
      <c r="A194" s="123"/>
      <c r="B194" s="84"/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</row>
    <row r="195" spans="1:18" x14ac:dyDescent="0.25">
      <c r="A195" s="123"/>
      <c r="B195" s="84"/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</row>
    <row r="196" spans="1:18" x14ac:dyDescent="0.25">
      <c r="A196" s="123"/>
      <c r="B196" s="84"/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</row>
    <row r="197" spans="1:18" x14ac:dyDescent="0.25">
      <c r="A197" s="123"/>
      <c r="B197" s="84"/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</row>
    <row r="198" spans="1:18" x14ac:dyDescent="0.25">
      <c r="A198" s="123"/>
      <c r="B198" s="84"/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</row>
    <row r="199" spans="1:18" x14ac:dyDescent="0.25">
      <c r="A199" s="123"/>
      <c r="B199" s="84"/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</row>
    <row r="200" spans="1:18" x14ac:dyDescent="0.25">
      <c r="A200" s="123"/>
      <c r="B200" s="84"/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</row>
    <row r="201" spans="1:18" x14ac:dyDescent="0.25">
      <c r="A201" s="123"/>
      <c r="B201" s="84"/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</row>
    <row r="202" spans="1:18" x14ac:dyDescent="0.25">
      <c r="A202" s="123"/>
      <c r="B202" s="84"/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</row>
    <row r="203" spans="1:18" x14ac:dyDescent="0.25">
      <c r="A203" s="123"/>
      <c r="B203" s="84"/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</row>
    <row r="204" spans="1:18" x14ac:dyDescent="0.25">
      <c r="A204" s="123"/>
      <c r="B204" s="84"/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</row>
    <row r="205" spans="1:18" x14ac:dyDescent="0.25">
      <c r="A205" s="123"/>
      <c r="B205" s="84"/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</row>
    <row r="206" spans="1:18" x14ac:dyDescent="0.25">
      <c r="A206" s="123"/>
      <c r="B206" s="84"/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</row>
    <row r="207" spans="1:18" x14ac:dyDescent="0.25">
      <c r="A207" s="123"/>
      <c r="B207" s="84"/>
      <c r="C207" s="84"/>
      <c r="D207" s="84"/>
      <c r="E207" s="84"/>
      <c r="F207" s="84"/>
      <c r="G207" s="84"/>
      <c r="H207" s="84"/>
      <c r="I207" s="84"/>
      <c r="J207" s="84"/>
      <c r="K207" s="84"/>
      <c r="L207" s="84"/>
      <c r="M207" s="84"/>
      <c r="N207" s="84"/>
      <c r="O207" s="84"/>
      <c r="P207" s="84"/>
      <c r="Q207" s="84"/>
      <c r="R207" s="84"/>
    </row>
    <row r="208" spans="1:18" x14ac:dyDescent="0.25">
      <c r="A208" s="123"/>
      <c r="B208" s="84"/>
      <c r="C208" s="84"/>
      <c r="D208" s="84"/>
      <c r="E208" s="84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</row>
    <row r="209" spans="1:18" x14ac:dyDescent="0.25">
      <c r="A209" s="123"/>
      <c r="B209" s="84"/>
      <c r="C209" s="84"/>
      <c r="D209" s="84"/>
      <c r="E209" s="84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</row>
    <row r="210" spans="1:18" x14ac:dyDescent="0.25">
      <c r="A210" s="123"/>
      <c r="B210" s="84"/>
      <c r="C210" s="84"/>
      <c r="D210" s="84"/>
      <c r="E210" s="84"/>
      <c r="F210" s="84"/>
      <c r="G210" s="84"/>
      <c r="H210" s="84"/>
      <c r="I210" s="84"/>
      <c r="J210" s="84"/>
      <c r="K210" s="84"/>
      <c r="L210" s="84"/>
      <c r="M210" s="84"/>
      <c r="N210" s="84"/>
      <c r="O210" s="84"/>
      <c r="P210" s="84"/>
      <c r="Q210" s="84"/>
      <c r="R210" s="84"/>
    </row>
    <row r="211" spans="1:18" x14ac:dyDescent="0.25">
      <c r="A211" s="123"/>
      <c r="B211" s="84"/>
      <c r="C211" s="84"/>
      <c r="D211" s="84"/>
      <c r="E211" s="84"/>
      <c r="F211" s="84"/>
      <c r="G211" s="84"/>
      <c r="H211" s="84"/>
      <c r="I211" s="84"/>
      <c r="J211" s="84"/>
      <c r="K211" s="84"/>
      <c r="L211" s="84"/>
      <c r="M211" s="84"/>
      <c r="N211" s="84"/>
      <c r="O211" s="84"/>
      <c r="P211" s="84"/>
      <c r="Q211" s="84"/>
      <c r="R211" s="84"/>
    </row>
    <row r="212" spans="1:18" x14ac:dyDescent="0.25">
      <c r="A212" s="123"/>
      <c r="B212" s="84"/>
      <c r="C212" s="84"/>
      <c r="D212" s="84"/>
      <c r="E212" s="84"/>
      <c r="F212" s="84"/>
      <c r="G212" s="84"/>
      <c r="H212" s="84"/>
      <c r="I212" s="84"/>
      <c r="J212" s="84"/>
      <c r="K212" s="84"/>
      <c r="L212" s="84"/>
      <c r="M212" s="84"/>
      <c r="N212" s="84"/>
      <c r="O212" s="84"/>
      <c r="P212" s="84"/>
      <c r="Q212" s="84"/>
      <c r="R212" s="84"/>
    </row>
    <row r="213" spans="1:18" x14ac:dyDescent="0.25">
      <c r="A213" s="123"/>
      <c r="B213" s="84"/>
      <c r="C213" s="84"/>
      <c r="D213" s="84"/>
      <c r="E213" s="84"/>
      <c r="F213" s="84"/>
      <c r="G213" s="84"/>
      <c r="H213" s="84"/>
      <c r="I213" s="84"/>
      <c r="J213" s="84"/>
      <c r="K213" s="84"/>
      <c r="L213" s="84"/>
      <c r="M213" s="84"/>
      <c r="N213" s="84"/>
      <c r="O213" s="84"/>
      <c r="P213" s="84"/>
      <c r="Q213" s="84"/>
      <c r="R213" s="84"/>
    </row>
    <row r="214" spans="1:18" x14ac:dyDescent="0.25">
      <c r="A214" s="123"/>
      <c r="B214" s="84"/>
      <c r="C214" s="84"/>
      <c r="D214" s="84"/>
      <c r="E214" s="84"/>
      <c r="F214" s="84"/>
      <c r="G214" s="84"/>
      <c r="H214" s="84"/>
      <c r="I214" s="84"/>
      <c r="J214" s="84"/>
      <c r="K214" s="84"/>
      <c r="L214" s="84"/>
      <c r="M214" s="84"/>
      <c r="N214" s="84"/>
      <c r="O214" s="84"/>
      <c r="P214" s="84"/>
      <c r="Q214" s="84"/>
      <c r="R214" s="84"/>
    </row>
    <row r="215" spans="1:18" x14ac:dyDescent="0.25">
      <c r="A215" s="123"/>
      <c r="B215" s="84"/>
      <c r="C215" s="84"/>
      <c r="D215" s="84"/>
      <c r="E215" s="84"/>
      <c r="F215" s="84"/>
      <c r="G215" s="84"/>
      <c r="H215" s="84"/>
      <c r="I215" s="84"/>
      <c r="J215" s="84"/>
      <c r="K215" s="84"/>
      <c r="L215" s="84"/>
      <c r="M215" s="84"/>
      <c r="N215" s="84"/>
      <c r="O215" s="84"/>
      <c r="P215" s="84"/>
      <c r="Q215" s="84"/>
      <c r="R215" s="84"/>
    </row>
    <row r="216" spans="1:18" x14ac:dyDescent="0.25">
      <c r="A216" s="123"/>
      <c r="B216" s="84"/>
      <c r="C216" s="84"/>
      <c r="D216" s="84"/>
      <c r="E216" s="84"/>
      <c r="F216" s="84"/>
      <c r="G216" s="84"/>
      <c r="H216" s="84"/>
      <c r="I216" s="84"/>
      <c r="J216" s="84"/>
      <c r="K216" s="84"/>
      <c r="L216" s="84"/>
      <c r="M216" s="84"/>
      <c r="N216" s="84"/>
      <c r="O216" s="84"/>
      <c r="P216" s="84"/>
      <c r="Q216" s="84"/>
      <c r="R216" s="84"/>
    </row>
    <row r="217" spans="1:18" x14ac:dyDescent="0.25">
      <c r="A217" s="123"/>
      <c r="B217" s="84"/>
      <c r="C217" s="84"/>
      <c r="D217" s="84"/>
      <c r="E217" s="84"/>
      <c r="F217" s="84"/>
      <c r="G217" s="84"/>
      <c r="H217" s="84"/>
      <c r="I217" s="84"/>
      <c r="J217" s="84"/>
      <c r="K217" s="84"/>
      <c r="L217" s="84"/>
      <c r="M217" s="84"/>
      <c r="N217" s="84"/>
      <c r="O217" s="84"/>
      <c r="P217" s="84"/>
      <c r="Q217" s="84"/>
      <c r="R217" s="84"/>
    </row>
    <row r="218" spans="1:18" x14ac:dyDescent="0.25">
      <c r="A218" s="123"/>
      <c r="B218" s="84"/>
      <c r="C218" s="84"/>
      <c r="D218" s="84"/>
      <c r="E218" s="84"/>
      <c r="F218" s="84"/>
      <c r="G218" s="84"/>
      <c r="H218" s="84"/>
      <c r="I218" s="84"/>
      <c r="J218" s="84"/>
      <c r="K218" s="84"/>
      <c r="L218" s="84"/>
      <c r="M218" s="84"/>
      <c r="N218" s="84"/>
      <c r="O218" s="84"/>
      <c r="P218" s="84"/>
      <c r="Q218" s="84"/>
      <c r="R218" s="84"/>
    </row>
    <row r="219" spans="1:18" x14ac:dyDescent="0.25">
      <c r="A219" s="123"/>
      <c r="B219" s="84"/>
      <c r="C219" s="84"/>
      <c r="D219" s="84"/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  <c r="R219" s="84"/>
    </row>
    <row r="220" spans="1:18" x14ac:dyDescent="0.25">
      <c r="A220" s="123"/>
      <c r="B220" s="84"/>
      <c r="C220" s="84"/>
      <c r="D220" s="84"/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  <c r="R220" s="84"/>
    </row>
    <row r="221" spans="1:18" x14ac:dyDescent="0.25">
      <c r="A221" s="123"/>
      <c r="B221" s="84"/>
      <c r="C221" s="84"/>
      <c r="D221" s="84"/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  <c r="R221" s="84"/>
    </row>
    <row r="226" spans="1:18" x14ac:dyDescent="0.25">
      <c r="A226" s="11"/>
    </row>
    <row r="227" spans="1:18" ht="15" customHeight="1" x14ac:dyDescent="0.25">
      <c r="A227" s="68"/>
      <c r="B227" s="126"/>
      <c r="C227" s="126"/>
      <c r="D227" s="126"/>
      <c r="E227" s="126"/>
      <c r="F227" s="126"/>
      <c r="G227" s="126"/>
      <c r="H227" s="126"/>
      <c r="I227" s="126"/>
      <c r="J227" s="126"/>
      <c r="K227" s="126"/>
      <c r="L227" s="126"/>
      <c r="M227" s="126"/>
      <c r="N227" s="126"/>
      <c r="O227" s="126"/>
      <c r="P227" s="126"/>
      <c r="Q227" s="126"/>
      <c r="R227" s="126"/>
    </row>
    <row r="228" spans="1:18" ht="15" customHeight="1" x14ac:dyDescent="0.25">
      <c r="A228" s="68"/>
      <c r="B228" s="126"/>
      <c r="C228" s="126"/>
      <c r="D228" s="126"/>
      <c r="E228" s="126"/>
      <c r="F228" s="126"/>
      <c r="G228" s="126"/>
      <c r="H228" s="126"/>
      <c r="I228" s="126"/>
      <c r="J228" s="126"/>
      <c r="K228" s="126"/>
      <c r="L228" s="126"/>
      <c r="M228" s="126"/>
      <c r="N228" s="126"/>
      <c r="O228" s="126"/>
      <c r="P228" s="126"/>
      <c r="Q228" s="126"/>
      <c r="R228" s="126"/>
    </row>
    <row r="229" spans="1:18" ht="15" customHeight="1" x14ac:dyDescent="0.25">
      <c r="A229" s="68"/>
      <c r="B229" s="126"/>
      <c r="C229" s="126"/>
      <c r="D229" s="126"/>
      <c r="E229" s="126"/>
      <c r="F229" s="126"/>
      <c r="G229" s="126"/>
      <c r="H229" s="126"/>
      <c r="I229" s="126"/>
      <c r="J229" s="126"/>
      <c r="K229" s="126"/>
      <c r="L229" s="126"/>
      <c r="M229" s="126"/>
      <c r="N229" s="126"/>
      <c r="O229" s="126"/>
      <c r="P229" s="126"/>
      <c r="Q229" s="126"/>
      <c r="R229" s="126"/>
    </row>
    <row r="230" spans="1:18" ht="15" customHeight="1" x14ac:dyDescent="0.25">
      <c r="A230" s="120"/>
      <c r="B230" s="121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</row>
    <row r="231" spans="1:18" ht="15" customHeight="1" x14ac:dyDescent="0.25">
      <c r="A231" s="120"/>
      <c r="B231" s="121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</row>
    <row r="232" spans="1:18" ht="15" customHeight="1" x14ac:dyDescent="0.25">
      <c r="A232" s="120"/>
      <c r="B232" s="121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</row>
    <row r="233" spans="1:18" x14ac:dyDescent="0.25">
      <c r="A233" s="11"/>
    </row>
    <row r="234" spans="1:18" ht="15" customHeight="1" x14ac:dyDescent="0.25">
      <c r="A234" s="123"/>
      <c r="B234" s="84"/>
      <c r="C234" s="84"/>
      <c r="D234" s="84"/>
      <c r="E234" s="84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</row>
    <row r="235" spans="1:18" x14ac:dyDescent="0.25">
      <c r="A235" s="123"/>
      <c r="B235" s="84"/>
      <c r="C235" s="84"/>
      <c r="D235" s="84"/>
      <c r="E235" s="84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</row>
    <row r="236" spans="1:18" x14ac:dyDescent="0.25">
      <c r="A236" s="123"/>
      <c r="B236" s="84"/>
      <c r="C236" s="84"/>
      <c r="D236" s="84"/>
      <c r="E236" s="84"/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</row>
    <row r="237" spans="1:18" x14ac:dyDescent="0.25">
      <c r="A237" s="123"/>
      <c r="B237" s="84"/>
      <c r="C237" s="84"/>
      <c r="D237" s="84"/>
      <c r="E237" s="84"/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</row>
    <row r="238" spans="1:18" x14ac:dyDescent="0.25">
      <c r="A238" s="123"/>
      <c r="B238" s="84"/>
      <c r="C238" s="84"/>
      <c r="D238" s="84"/>
      <c r="E238" s="84"/>
      <c r="F238" s="84"/>
      <c r="G238" s="84"/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</row>
    <row r="239" spans="1:18" x14ac:dyDescent="0.25">
      <c r="A239" s="123"/>
      <c r="B239" s="84"/>
      <c r="C239" s="84"/>
      <c r="D239" s="84"/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</row>
    <row r="240" spans="1:18" x14ac:dyDescent="0.25">
      <c r="A240" s="123"/>
      <c r="B240" s="84"/>
      <c r="C240" s="84"/>
      <c r="D240" s="84"/>
      <c r="E240" s="84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</row>
    <row r="241" spans="1:18" x14ac:dyDescent="0.25">
      <c r="A241" s="123"/>
      <c r="B241" s="84"/>
      <c r="C241" s="84"/>
      <c r="D241" s="84"/>
      <c r="E241" s="84"/>
      <c r="F241" s="84"/>
      <c r="G241" s="84"/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84"/>
    </row>
    <row r="242" spans="1:18" x14ac:dyDescent="0.25">
      <c r="A242" s="123"/>
      <c r="B242" s="84"/>
      <c r="C242" s="84"/>
      <c r="D242" s="84"/>
      <c r="E242" s="84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</row>
    <row r="243" spans="1:18" x14ac:dyDescent="0.25">
      <c r="A243" s="123"/>
      <c r="B243" s="84"/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</row>
    <row r="244" spans="1:18" x14ac:dyDescent="0.25">
      <c r="A244" s="123"/>
      <c r="B244" s="84"/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</row>
    <row r="245" spans="1:18" x14ac:dyDescent="0.25">
      <c r="A245" s="123"/>
      <c r="B245" s="84"/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</row>
    <row r="246" spans="1:18" x14ac:dyDescent="0.25">
      <c r="A246" s="123"/>
      <c r="B246" s="84"/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</row>
    <row r="247" spans="1:18" x14ac:dyDescent="0.25">
      <c r="A247" s="123"/>
      <c r="B247" s="84"/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</row>
    <row r="248" spans="1:18" x14ac:dyDescent="0.25">
      <c r="A248" s="123"/>
      <c r="B248" s="84"/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</row>
    <row r="249" spans="1:18" x14ac:dyDescent="0.25">
      <c r="A249" s="123"/>
      <c r="B249" s="84"/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</row>
    <row r="250" spans="1:18" x14ac:dyDescent="0.25">
      <c r="A250" s="123"/>
      <c r="B250" s="84"/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</row>
    <row r="251" spans="1:18" x14ac:dyDescent="0.25">
      <c r="A251" s="123"/>
      <c r="B251" s="84"/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</row>
    <row r="252" spans="1:18" x14ac:dyDescent="0.25">
      <c r="A252" s="123"/>
      <c r="B252" s="84"/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</row>
    <row r="253" spans="1:18" x14ac:dyDescent="0.25">
      <c r="A253" s="123"/>
      <c r="B253" s="84"/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</row>
    <row r="254" spans="1:18" x14ac:dyDescent="0.25">
      <c r="A254" s="123"/>
      <c r="B254" s="84"/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</row>
    <row r="255" spans="1:18" x14ac:dyDescent="0.25">
      <c r="A255" s="123"/>
      <c r="B255" s="84"/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</row>
    <row r="256" spans="1:18" x14ac:dyDescent="0.25">
      <c r="A256" s="123"/>
      <c r="B256" s="84"/>
      <c r="C256" s="84"/>
      <c r="D256" s="84"/>
      <c r="E256" s="84"/>
      <c r="F256" s="84"/>
      <c r="G256" s="84"/>
      <c r="H256" s="84"/>
      <c r="I256" s="84"/>
      <c r="J256" s="84"/>
      <c r="K256" s="84"/>
      <c r="L256" s="84"/>
      <c r="M256" s="84"/>
      <c r="N256" s="84"/>
      <c r="O256" s="84"/>
      <c r="P256" s="84"/>
      <c r="Q256" s="84"/>
      <c r="R256" s="84"/>
    </row>
    <row r="257" spans="1:18" x14ac:dyDescent="0.25">
      <c r="A257" s="123"/>
      <c r="B257" s="84"/>
      <c r="C257" s="84"/>
      <c r="D257" s="84"/>
      <c r="E257" s="84"/>
      <c r="F257" s="84"/>
      <c r="G257" s="84"/>
      <c r="H257" s="84"/>
      <c r="I257" s="84"/>
      <c r="J257" s="84"/>
      <c r="K257" s="84"/>
      <c r="L257" s="84"/>
      <c r="M257" s="84"/>
      <c r="N257" s="84"/>
      <c r="O257" s="84"/>
      <c r="P257" s="84"/>
      <c r="Q257" s="84"/>
      <c r="R257" s="84"/>
    </row>
    <row r="258" spans="1:18" x14ac:dyDescent="0.25">
      <c r="A258" s="123"/>
      <c r="B258" s="84"/>
      <c r="C258" s="84"/>
      <c r="D258" s="84"/>
      <c r="E258" s="84"/>
      <c r="F258" s="84"/>
      <c r="G258" s="84"/>
      <c r="H258" s="84"/>
      <c r="I258" s="84"/>
      <c r="J258" s="84"/>
      <c r="K258" s="84"/>
      <c r="L258" s="84"/>
      <c r="M258" s="84"/>
      <c r="N258" s="84"/>
      <c r="O258" s="84"/>
      <c r="P258" s="84"/>
      <c r="Q258" s="84"/>
      <c r="R258" s="84"/>
    </row>
    <row r="259" spans="1:18" x14ac:dyDescent="0.25">
      <c r="A259" s="123"/>
      <c r="B259" s="84"/>
      <c r="C259" s="84"/>
      <c r="D259" s="84"/>
      <c r="E259" s="84"/>
      <c r="F259" s="84"/>
      <c r="G259" s="84"/>
      <c r="H259" s="84"/>
      <c r="I259" s="84"/>
      <c r="J259" s="84"/>
      <c r="K259" s="84"/>
      <c r="L259" s="84"/>
      <c r="M259" s="84"/>
      <c r="N259" s="84"/>
      <c r="O259" s="84"/>
      <c r="P259" s="84"/>
      <c r="Q259" s="84"/>
      <c r="R259" s="84"/>
    </row>
    <row r="260" spans="1:18" x14ac:dyDescent="0.25">
      <c r="A260" s="123"/>
      <c r="B260" s="84"/>
      <c r="C260" s="84"/>
      <c r="D260" s="84"/>
      <c r="E260" s="84"/>
      <c r="F260" s="84"/>
      <c r="G260" s="84"/>
      <c r="H260" s="84"/>
      <c r="I260" s="84"/>
      <c r="J260" s="84"/>
      <c r="K260" s="84"/>
      <c r="L260" s="84"/>
      <c r="M260" s="84"/>
      <c r="N260" s="84"/>
      <c r="O260" s="84"/>
      <c r="P260" s="84"/>
      <c r="Q260" s="84"/>
      <c r="R260" s="84"/>
    </row>
    <row r="261" spans="1:18" x14ac:dyDescent="0.25">
      <c r="A261" s="123"/>
      <c r="B261" s="84"/>
      <c r="C261" s="84"/>
      <c r="D261" s="84"/>
      <c r="E261" s="84"/>
      <c r="F261" s="84"/>
      <c r="G261" s="84"/>
      <c r="H261" s="84"/>
      <c r="I261" s="84"/>
      <c r="J261" s="84"/>
      <c r="K261" s="84"/>
      <c r="L261" s="84"/>
      <c r="M261" s="84"/>
      <c r="N261" s="84"/>
      <c r="O261" s="84"/>
      <c r="P261" s="84"/>
      <c r="Q261" s="84"/>
      <c r="R261" s="84"/>
    </row>
    <row r="262" spans="1:18" x14ac:dyDescent="0.25">
      <c r="A262" s="123"/>
      <c r="B262" s="84"/>
      <c r="C262" s="84"/>
      <c r="D262" s="84"/>
      <c r="E262" s="84"/>
      <c r="F262" s="84"/>
      <c r="G262" s="84"/>
      <c r="H262" s="84"/>
      <c r="I262" s="84"/>
      <c r="J262" s="84"/>
      <c r="K262" s="84"/>
      <c r="L262" s="84"/>
      <c r="M262" s="84"/>
      <c r="N262" s="84"/>
      <c r="O262" s="84"/>
      <c r="P262" s="84"/>
      <c r="Q262" s="84"/>
      <c r="R262" s="84"/>
    </row>
    <row r="263" spans="1:18" x14ac:dyDescent="0.25">
      <c r="A263" s="123"/>
      <c r="B263" s="84"/>
      <c r="C263" s="84"/>
      <c r="D263" s="84"/>
      <c r="E263" s="84"/>
      <c r="F263" s="84"/>
      <c r="G263" s="84"/>
      <c r="H263" s="84"/>
      <c r="I263" s="84"/>
      <c r="J263" s="84"/>
      <c r="K263" s="84"/>
      <c r="L263" s="84"/>
      <c r="M263" s="84"/>
      <c r="N263" s="84"/>
      <c r="O263" s="84"/>
      <c r="P263" s="84"/>
      <c r="Q263" s="84"/>
      <c r="R263" s="84"/>
    </row>
    <row r="264" spans="1:18" x14ac:dyDescent="0.25">
      <c r="A264" s="123"/>
      <c r="B264" s="84"/>
      <c r="C264" s="84"/>
      <c r="D264" s="84"/>
      <c r="E264" s="84"/>
      <c r="F264" s="84"/>
      <c r="G264" s="84"/>
      <c r="H264" s="84"/>
      <c r="I264" s="84"/>
      <c r="J264" s="84"/>
      <c r="K264" s="84"/>
      <c r="L264" s="84"/>
      <c r="M264" s="84"/>
      <c r="N264" s="84"/>
      <c r="O264" s="84"/>
      <c r="P264" s="84"/>
      <c r="Q264" s="84"/>
      <c r="R264" s="84"/>
    </row>
    <row r="265" spans="1:18" x14ac:dyDescent="0.25">
      <c r="A265" s="123"/>
      <c r="B265" s="84"/>
      <c r="C265" s="84"/>
      <c r="D265" s="84"/>
      <c r="E265" s="84"/>
      <c r="F265" s="84"/>
      <c r="G265" s="84"/>
      <c r="H265" s="84"/>
      <c r="I265" s="84"/>
      <c r="J265" s="84"/>
      <c r="K265" s="84"/>
      <c r="L265" s="84"/>
      <c r="M265" s="84"/>
      <c r="N265" s="84"/>
      <c r="O265" s="84"/>
      <c r="P265" s="84"/>
      <c r="Q265" s="84"/>
      <c r="R265" s="84"/>
    </row>
    <row r="266" spans="1:18" x14ac:dyDescent="0.25">
      <c r="A266" s="123"/>
      <c r="B266" s="84"/>
      <c r="C266" s="84"/>
      <c r="D266" s="84"/>
      <c r="E266" s="84"/>
      <c r="F266" s="84"/>
      <c r="G266" s="84"/>
      <c r="H266" s="84"/>
      <c r="I266" s="84"/>
      <c r="J266" s="84"/>
      <c r="K266" s="84"/>
      <c r="L266" s="84"/>
      <c r="M266" s="84"/>
      <c r="N266" s="84"/>
      <c r="O266" s="84"/>
      <c r="P266" s="84"/>
      <c r="Q266" s="84"/>
      <c r="R266" s="84"/>
    </row>
  </sheetData>
  <mergeCells count="19">
    <mergeCell ref="B227:R229"/>
    <mergeCell ref="A230:A232"/>
    <mergeCell ref="B230:B232"/>
    <mergeCell ref="C230:R232"/>
    <mergeCell ref="A234:A266"/>
    <mergeCell ref="A185:A187"/>
    <mergeCell ref="B185:B187"/>
    <mergeCell ref="C185:R187"/>
    <mergeCell ref="A189:A221"/>
    <mergeCell ref="A99:A131"/>
    <mergeCell ref="B97:R135"/>
    <mergeCell ref="A144:A176"/>
    <mergeCell ref="B182:R184"/>
    <mergeCell ref="E4:H6"/>
    <mergeCell ref="I4:O6"/>
    <mergeCell ref="E1:O3"/>
    <mergeCell ref="B11:R49"/>
    <mergeCell ref="A54:A92"/>
    <mergeCell ref="B54:R92"/>
  </mergeCells>
  <pageMargins left="0.19685039370078741" right="0.19685039370078741" top="0.19685039370078741" bottom="0.19685039370078741" header="0" footer="0.35433070866141736"/>
  <pageSetup paperSize="9" scale="39" fitToHeight="3" orientation="portrait" r:id="rId1"/>
  <headerFooter alignWithMargins="0">
    <oddFooter xml:space="preserve">&amp;C&amp;18Tooshop | M. Santos | &amp;D&amp;R&amp;18Página &amp;P de &amp;N         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D273"/>
  <sheetViews>
    <sheetView view="pageBreakPreview" zoomScale="37" zoomScaleNormal="70" zoomScaleSheetLayoutView="37" workbookViewId="0">
      <selection activeCell="T57" sqref="T57"/>
    </sheetView>
  </sheetViews>
  <sheetFormatPr defaultRowHeight="15" x14ac:dyDescent="0.25"/>
  <cols>
    <col min="1" max="1" width="4.7109375" style="2" customWidth="1"/>
    <col min="2" max="2" width="9.140625" style="2"/>
    <col min="3" max="4" width="15.7109375" style="2" customWidth="1"/>
    <col min="5" max="5" width="30.7109375" style="2" customWidth="1"/>
    <col min="6" max="6" width="18.7109375" style="2" customWidth="1"/>
    <col min="7" max="13" width="9.140625" style="2"/>
    <col min="14" max="14" width="25.7109375" style="2" customWidth="1"/>
    <col min="15" max="15" width="30.7109375" style="2" customWidth="1"/>
    <col min="16" max="17" width="15.7109375" style="2" customWidth="1"/>
    <col min="18" max="18" width="9.140625" style="2" customWidth="1"/>
    <col min="19" max="19" width="4.5703125" style="2" customWidth="1"/>
    <col min="20" max="20" width="50.140625" style="2" customWidth="1"/>
    <col min="21" max="21" width="6.85546875" style="2" customWidth="1"/>
    <col min="22" max="22" width="6.5703125" style="2" customWidth="1"/>
    <col min="23" max="23" width="6.7109375" style="2" customWidth="1"/>
    <col min="24" max="24" width="7.28515625" style="2" customWidth="1"/>
    <col min="25" max="25" width="9.140625" style="2"/>
    <col min="26" max="26" width="39" style="2" bestFit="1" customWidth="1"/>
    <col min="27" max="27" width="13.5703125" style="30" bestFit="1" customWidth="1"/>
    <col min="28" max="28" width="10.42578125" style="2" bestFit="1" customWidth="1"/>
    <col min="29" max="29" width="19.42578125" style="2" bestFit="1" customWidth="1"/>
    <col min="30" max="30" width="5.42578125" style="2" bestFit="1" customWidth="1"/>
    <col min="31" max="16384" width="9.140625" style="2"/>
  </cols>
  <sheetData>
    <row r="1" spans="1:30" ht="15" customHeight="1" x14ac:dyDescent="0.25">
      <c r="A1" s="13"/>
      <c r="B1" s="3"/>
      <c r="C1" s="3"/>
      <c r="D1" s="3"/>
      <c r="E1" s="116" t="s">
        <v>3</v>
      </c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3"/>
      <c r="Q1" s="3"/>
      <c r="R1" s="3"/>
      <c r="S1" s="4"/>
      <c r="T1" s="10"/>
      <c r="Z1" s="49" t="s">
        <v>4</v>
      </c>
      <c r="AA1" s="88"/>
      <c r="AB1" s="102"/>
      <c r="AC1" s="103"/>
      <c r="AD1" s="104"/>
    </row>
    <row r="2" spans="1:30" ht="15" customHeight="1" x14ac:dyDescent="0.25">
      <c r="A2" s="14"/>
      <c r="B2" s="56"/>
      <c r="C2" s="56"/>
      <c r="D2" s="56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58"/>
      <c r="Q2" s="56"/>
      <c r="R2" s="56"/>
      <c r="S2" s="6"/>
      <c r="Z2" s="50" t="s">
        <v>477</v>
      </c>
      <c r="AA2" s="89">
        <v>1</v>
      </c>
      <c r="AB2" s="95"/>
      <c r="AC2" s="95"/>
      <c r="AD2" s="105"/>
    </row>
    <row r="3" spans="1:30" ht="15" customHeight="1" x14ac:dyDescent="0.25">
      <c r="A3" s="14"/>
      <c r="B3" s="56"/>
      <c r="C3" s="56"/>
      <c r="D3" s="56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58"/>
      <c r="Q3" s="56"/>
      <c r="R3" s="56"/>
      <c r="S3" s="6"/>
      <c r="Z3" s="50" t="s">
        <v>476</v>
      </c>
      <c r="AA3" s="89"/>
      <c r="AB3" s="95"/>
      <c r="AC3" s="95"/>
      <c r="AD3" s="105"/>
    </row>
    <row r="4" spans="1:30" ht="15" customHeight="1" x14ac:dyDescent="0.25">
      <c r="A4" s="14"/>
      <c r="B4" s="56"/>
      <c r="C4" s="56"/>
      <c r="D4" s="56"/>
      <c r="E4" s="129" t="str">
        <f>"Projeto: "</f>
        <v xml:space="preserve">Projeto: </v>
      </c>
      <c r="F4" s="131" t="str">
        <f>T7</f>
        <v>VW481_PA_Passat</v>
      </c>
      <c r="G4" s="131"/>
      <c r="H4" s="131"/>
      <c r="I4" s="131"/>
      <c r="J4" s="131"/>
      <c r="K4" s="131"/>
      <c r="L4" s="131"/>
      <c r="M4" s="131"/>
      <c r="N4" s="131"/>
      <c r="O4" s="132"/>
      <c r="P4" s="58"/>
      <c r="Q4" s="56"/>
      <c r="R4" s="56"/>
      <c r="S4" s="6"/>
      <c r="Z4" s="50" t="s">
        <v>218</v>
      </c>
      <c r="AA4" s="89"/>
      <c r="AB4" s="95"/>
      <c r="AC4" s="95"/>
      <c r="AD4" s="105"/>
    </row>
    <row r="5" spans="1:30" ht="15" customHeight="1" x14ac:dyDescent="0.25">
      <c r="A5" s="80"/>
      <c r="B5" s="54"/>
      <c r="C5" s="55"/>
      <c r="D5" s="55"/>
      <c r="E5" s="130"/>
      <c r="F5" s="133"/>
      <c r="G5" s="133"/>
      <c r="H5" s="133"/>
      <c r="I5" s="133"/>
      <c r="J5" s="133"/>
      <c r="K5" s="133"/>
      <c r="L5" s="133"/>
      <c r="M5" s="133"/>
      <c r="N5" s="133"/>
      <c r="O5" s="134"/>
      <c r="P5" s="58"/>
      <c r="Q5" s="55"/>
      <c r="R5" s="55"/>
      <c r="S5" s="6"/>
      <c r="Z5" s="50" t="s">
        <v>475</v>
      </c>
      <c r="AA5" s="89"/>
      <c r="AB5" s="95"/>
      <c r="AC5" s="95"/>
      <c r="AD5" s="105"/>
    </row>
    <row r="6" spans="1:30" ht="15" customHeight="1" x14ac:dyDescent="0.25">
      <c r="A6" s="80"/>
      <c r="B6" s="54"/>
      <c r="C6" s="55"/>
      <c r="D6" s="55"/>
      <c r="E6" s="135" t="str">
        <f>"Peça: "</f>
        <v xml:space="preserve">Peça: </v>
      </c>
      <c r="F6" s="136" t="str">
        <f>T8</f>
        <v>3G5.817.111_Dach</v>
      </c>
      <c r="G6" s="136"/>
      <c r="H6" s="136"/>
      <c r="I6" s="136"/>
      <c r="J6" s="136"/>
      <c r="K6" s="136"/>
      <c r="L6" s="136"/>
      <c r="M6" s="136"/>
      <c r="N6" s="136"/>
      <c r="O6" s="137"/>
      <c r="P6" s="58"/>
      <c r="Q6" s="55"/>
      <c r="R6" s="55"/>
      <c r="S6" s="6"/>
      <c r="T6" s="17" t="s">
        <v>458</v>
      </c>
      <c r="Z6" s="50" t="s">
        <v>249</v>
      </c>
      <c r="AA6" s="89"/>
      <c r="AB6" s="95"/>
      <c r="AC6" s="95"/>
      <c r="AD6" s="105"/>
    </row>
    <row r="7" spans="1:30" ht="15" customHeight="1" x14ac:dyDescent="0.25">
      <c r="A7" s="80"/>
      <c r="B7" s="54"/>
      <c r="C7" s="55"/>
      <c r="D7" s="55"/>
      <c r="E7" s="130"/>
      <c r="F7" s="133"/>
      <c r="G7" s="133"/>
      <c r="H7" s="133"/>
      <c r="I7" s="133"/>
      <c r="J7" s="133"/>
      <c r="K7" s="133"/>
      <c r="L7" s="133"/>
      <c r="M7" s="133"/>
      <c r="N7" s="133"/>
      <c r="O7" s="134"/>
      <c r="P7" s="55"/>
      <c r="Q7" s="55"/>
      <c r="R7" s="55"/>
      <c r="S7" s="6"/>
      <c r="T7" s="53" t="s">
        <v>446</v>
      </c>
      <c r="Z7" s="50" t="s">
        <v>2</v>
      </c>
      <c r="AA7" s="89">
        <f>SUM(AA2:AA6)</f>
        <v>1</v>
      </c>
      <c r="AB7" s="95">
        <f>SUM(AB2:AB6)</f>
        <v>0</v>
      </c>
      <c r="AC7" s="95"/>
      <c r="AD7" s="105"/>
    </row>
    <row r="8" spans="1:30" ht="15" customHeight="1" x14ac:dyDescent="0.25">
      <c r="A8" s="15"/>
      <c r="E8" s="135" t="str">
        <f>"Ano: "</f>
        <v xml:space="preserve">Ano: </v>
      </c>
      <c r="F8" s="136">
        <f>T9</f>
        <v>2017</v>
      </c>
      <c r="G8" s="136"/>
      <c r="H8" s="136"/>
      <c r="I8" s="136"/>
      <c r="J8" s="136"/>
      <c r="K8" s="136"/>
      <c r="L8" s="136"/>
      <c r="M8" s="136"/>
      <c r="N8" s="136"/>
      <c r="O8" s="137"/>
      <c r="S8" s="6"/>
      <c r="T8" s="2" t="s">
        <v>447</v>
      </c>
      <c r="Z8" s="48" t="s">
        <v>5</v>
      </c>
      <c r="AA8" s="90"/>
      <c r="AB8" s="106"/>
      <c r="AC8" s="106"/>
      <c r="AD8" s="107"/>
    </row>
    <row r="9" spans="1:30" ht="15" customHeight="1" x14ac:dyDescent="0.25">
      <c r="A9" s="81"/>
      <c r="B9" s="57"/>
      <c r="C9" s="57"/>
      <c r="D9" s="57"/>
      <c r="E9" s="130"/>
      <c r="F9" s="133"/>
      <c r="G9" s="133"/>
      <c r="H9" s="133"/>
      <c r="I9" s="133"/>
      <c r="J9" s="133"/>
      <c r="K9" s="133"/>
      <c r="L9" s="133"/>
      <c r="M9" s="133"/>
      <c r="N9" s="133"/>
      <c r="O9" s="134"/>
      <c r="P9" s="57"/>
      <c r="Q9" s="57"/>
      <c r="R9" s="57"/>
      <c r="S9" s="6"/>
      <c r="T9" s="2">
        <v>2017</v>
      </c>
      <c r="Z9" s="44" t="s">
        <v>8</v>
      </c>
      <c r="AA9" s="91"/>
      <c r="AB9" s="108"/>
      <c r="AC9" s="108"/>
      <c r="AD9" s="109"/>
    </row>
    <row r="10" spans="1:30" x14ac:dyDescent="0.25">
      <c r="A10" s="81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6"/>
      <c r="Z10" s="44" t="s">
        <v>7</v>
      </c>
      <c r="AA10" s="91"/>
      <c r="AB10" s="108"/>
      <c r="AC10" s="108"/>
      <c r="AD10" s="109"/>
    </row>
    <row r="11" spans="1:30" ht="15" customHeight="1" x14ac:dyDescent="0.25">
      <c r="A11" s="81"/>
      <c r="B11" s="118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6"/>
      <c r="Z11" s="44" t="s">
        <v>41</v>
      </c>
      <c r="AA11" s="91"/>
      <c r="AB11" s="108"/>
      <c r="AC11" s="108"/>
      <c r="AD11" s="109"/>
    </row>
    <row r="12" spans="1:30" ht="15" customHeight="1" x14ac:dyDescent="0.25">
      <c r="A12" s="81"/>
      <c r="B12" s="118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6"/>
      <c r="Z12" s="44" t="s">
        <v>40</v>
      </c>
      <c r="AA12" s="91"/>
      <c r="AB12" s="108"/>
      <c r="AC12" s="108"/>
      <c r="AD12" s="109"/>
    </row>
    <row r="13" spans="1:30" ht="15" customHeight="1" x14ac:dyDescent="0.25">
      <c r="A13" s="81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6"/>
      <c r="T13" s="12"/>
      <c r="Z13" s="44" t="s">
        <v>1</v>
      </c>
      <c r="AA13" s="91"/>
      <c r="AB13" s="108"/>
      <c r="AC13" s="108"/>
      <c r="AD13" s="109"/>
    </row>
    <row r="14" spans="1:30" ht="15" customHeight="1" x14ac:dyDescent="0.25">
      <c r="A14" s="81"/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6"/>
      <c r="T14" s="11"/>
      <c r="Z14" s="96" t="s">
        <v>356</v>
      </c>
      <c r="AA14" s="94"/>
      <c r="AB14" s="110"/>
      <c r="AC14" s="110"/>
      <c r="AD14" s="111"/>
    </row>
    <row r="15" spans="1:30" ht="15" customHeight="1" x14ac:dyDescent="0.25">
      <c r="A15" s="81"/>
      <c r="B15" s="118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6"/>
      <c r="Z15" s="45" t="s">
        <v>353</v>
      </c>
      <c r="AA15" s="98"/>
      <c r="AB15" s="99"/>
      <c r="AC15" s="100"/>
      <c r="AD15" s="101"/>
    </row>
    <row r="16" spans="1:30" ht="15" customHeight="1" x14ac:dyDescent="0.25">
      <c r="A16" s="81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6"/>
      <c r="Z16" s="45" t="s">
        <v>185</v>
      </c>
      <c r="AA16" s="98"/>
      <c r="AB16" s="99"/>
      <c r="AC16" s="100"/>
      <c r="AD16" s="101"/>
    </row>
    <row r="17" spans="1:30" x14ac:dyDescent="0.25">
      <c r="A17" s="81"/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6"/>
      <c r="Z17" s="45" t="s">
        <v>210</v>
      </c>
      <c r="AA17" s="98"/>
      <c r="AB17" s="99"/>
      <c r="AC17" s="100"/>
      <c r="AD17" s="101"/>
    </row>
    <row r="18" spans="1:30" x14ac:dyDescent="0.25">
      <c r="A18" s="81"/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6"/>
      <c r="Z18" s="45" t="s">
        <v>354</v>
      </c>
      <c r="AA18" s="98"/>
      <c r="AB18" s="99"/>
      <c r="AC18" s="100"/>
      <c r="AD18" s="101"/>
    </row>
    <row r="19" spans="1:30" x14ac:dyDescent="0.25">
      <c r="A19" s="81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6"/>
      <c r="Z19" s="45" t="s">
        <v>46</v>
      </c>
      <c r="AA19" s="98"/>
      <c r="AB19" s="99"/>
      <c r="AC19" s="100"/>
      <c r="AD19" s="101">
        <v>1</v>
      </c>
    </row>
    <row r="20" spans="1:30" x14ac:dyDescent="0.25">
      <c r="A20" s="81"/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6"/>
      <c r="Z20" s="45" t="s">
        <v>204</v>
      </c>
      <c r="AA20" s="98"/>
      <c r="AB20" s="99"/>
      <c r="AC20" s="100"/>
      <c r="AD20" s="101"/>
    </row>
    <row r="21" spans="1:30" x14ac:dyDescent="0.25">
      <c r="A21" s="81"/>
      <c r="B21" s="118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6"/>
      <c r="Z21" s="45" t="s">
        <v>143</v>
      </c>
      <c r="AA21" s="98"/>
      <c r="AB21" s="99"/>
      <c r="AC21" s="100"/>
      <c r="AD21" s="101"/>
    </row>
    <row r="22" spans="1:30" x14ac:dyDescent="0.25">
      <c r="A22" s="81"/>
      <c r="B22" s="118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6"/>
      <c r="Z22" s="45" t="s">
        <v>147</v>
      </c>
      <c r="AA22" s="98"/>
      <c r="AB22" s="99"/>
      <c r="AC22" s="100"/>
      <c r="AD22" s="101"/>
    </row>
    <row r="23" spans="1:30" x14ac:dyDescent="0.25">
      <c r="A23" s="81"/>
      <c r="B23" s="118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6"/>
      <c r="Z23" s="45" t="s">
        <v>57</v>
      </c>
      <c r="AA23" s="98"/>
      <c r="AB23" s="99"/>
      <c r="AC23" s="100"/>
      <c r="AD23" s="101"/>
    </row>
    <row r="24" spans="1:30" x14ac:dyDescent="0.25">
      <c r="A24" s="81"/>
      <c r="B24" s="11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6"/>
      <c r="Z24" s="46" t="s">
        <v>52</v>
      </c>
      <c r="AA24" s="98"/>
      <c r="AB24" s="99"/>
      <c r="AC24" s="100"/>
      <c r="AD24" s="101"/>
    </row>
    <row r="25" spans="1:30" x14ac:dyDescent="0.25">
      <c r="A25" s="81"/>
      <c r="B25" s="118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6"/>
      <c r="Z25" s="46"/>
      <c r="AA25" s="98"/>
      <c r="AB25" s="99"/>
      <c r="AC25" s="100"/>
      <c r="AD25" s="101"/>
    </row>
    <row r="26" spans="1:30" x14ac:dyDescent="0.25">
      <c r="A26" s="81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6"/>
      <c r="Z26" s="46"/>
      <c r="AA26" s="92"/>
      <c r="AB26" s="100"/>
      <c r="AC26" s="100"/>
      <c r="AD26" s="101"/>
    </row>
    <row r="27" spans="1:30" x14ac:dyDescent="0.25">
      <c r="A27" s="81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6"/>
      <c r="Z27" s="46"/>
      <c r="AA27" s="92"/>
      <c r="AB27" s="100"/>
      <c r="AC27" s="100"/>
      <c r="AD27" s="101"/>
    </row>
    <row r="28" spans="1:30" x14ac:dyDescent="0.25">
      <c r="A28" s="81"/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6"/>
      <c r="Z28" s="97"/>
      <c r="AA28" s="92" t="s">
        <v>8</v>
      </c>
      <c r="AB28" s="100" t="s">
        <v>7</v>
      </c>
      <c r="AC28" s="100" t="s">
        <v>41</v>
      </c>
      <c r="AD28" s="101" t="s">
        <v>479</v>
      </c>
    </row>
    <row r="29" spans="1:30" x14ac:dyDescent="0.25">
      <c r="A29" s="81"/>
      <c r="B29" s="118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6"/>
      <c r="Z29" s="46"/>
      <c r="AA29" s="92"/>
      <c r="AB29" s="100"/>
      <c r="AC29" s="100"/>
      <c r="AD29" s="101"/>
    </row>
    <row r="30" spans="1:30" x14ac:dyDescent="0.25">
      <c r="A30" s="81"/>
      <c r="B30" s="118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6"/>
      <c r="Z30" s="46"/>
      <c r="AA30" s="92"/>
      <c r="AB30" s="100"/>
      <c r="AC30" s="100"/>
      <c r="AD30" s="101"/>
    </row>
    <row r="31" spans="1:30" x14ac:dyDescent="0.25">
      <c r="A31" s="81"/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6"/>
      <c r="Z31" s="46"/>
      <c r="AA31" s="92"/>
      <c r="AB31" s="100"/>
      <c r="AC31" s="100"/>
      <c r="AD31" s="101"/>
    </row>
    <row r="32" spans="1:30" x14ac:dyDescent="0.25">
      <c r="A32" s="81"/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6"/>
      <c r="Z32" s="46"/>
      <c r="AA32" s="92"/>
      <c r="AB32" s="100"/>
      <c r="AC32" s="100"/>
      <c r="AD32" s="101"/>
    </row>
    <row r="33" spans="1:30" x14ac:dyDescent="0.25">
      <c r="A33" s="81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6"/>
      <c r="Z33" s="46"/>
      <c r="AA33" s="92"/>
      <c r="AB33" s="100"/>
      <c r="AC33" s="100"/>
      <c r="AD33" s="101"/>
    </row>
    <row r="34" spans="1:30" x14ac:dyDescent="0.25">
      <c r="A34" s="81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6"/>
      <c r="Z34" s="97"/>
      <c r="AA34" s="92"/>
      <c r="AB34" s="100"/>
      <c r="AC34" s="100"/>
      <c r="AD34" s="101"/>
    </row>
    <row r="35" spans="1:30" x14ac:dyDescent="0.25">
      <c r="A35" s="81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6"/>
      <c r="Z35" s="46"/>
      <c r="AA35" s="92"/>
      <c r="AB35" s="100"/>
      <c r="AC35" s="100"/>
      <c r="AD35" s="101"/>
    </row>
    <row r="36" spans="1:30" x14ac:dyDescent="0.25">
      <c r="A36" s="81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6"/>
      <c r="Z36" s="46"/>
      <c r="AA36" s="92"/>
      <c r="AB36" s="100"/>
      <c r="AC36" s="100"/>
      <c r="AD36" s="101"/>
    </row>
    <row r="37" spans="1:30" x14ac:dyDescent="0.25">
      <c r="A37" s="81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6"/>
      <c r="Z37" s="46"/>
      <c r="AA37" s="92"/>
      <c r="AB37" s="100"/>
      <c r="AC37" s="100"/>
      <c r="AD37" s="101"/>
    </row>
    <row r="38" spans="1:30" x14ac:dyDescent="0.25">
      <c r="A38" s="81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6"/>
      <c r="Z38" s="46"/>
      <c r="AA38" s="92"/>
      <c r="AB38" s="100"/>
      <c r="AC38" s="100"/>
      <c r="AD38" s="101"/>
    </row>
    <row r="39" spans="1:30" ht="15.75" thickBot="1" x14ac:dyDescent="0.3">
      <c r="A39" s="81"/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6"/>
      <c r="Z39" s="47"/>
      <c r="AA39" s="93"/>
      <c r="AB39" s="112"/>
      <c r="AC39" s="112"/>
      <c r="AD39" s="113"/>
    </row>
    <row r="40" spans="1:30" x14ac:dyDescent="0.25">
      <c r="A40" s="81"/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6"/>
    </row>
    <row r="41" spans="1:30" x14ac:dyDescent="0.25">
      <c r="A41" s="81"/>
      <c r="B41" s="118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6"/>
    </row>
    <row r="42" spans="1:30" x14ac:dyDescent="0.25">
      <c r="A42" s="5"/>
      <c r="B42" s="118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6"/>
    </row>
    <row r="43" spans="1:30" x14ac:dyDescent="0.25">
      <c r="A43" s="5"/>
      <c r="B43" s="118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6"/>
    </row>
    <row r="44" spans="1:30" x14ac:dyDescent="0.25">
      <c r="A44" s="5"/>
      <c r="B44" s="118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6"/>
    </row>
    <row r="45" spans="1:30" x14ac:dyDescent="0.25">
      <c r="A45" s="5"/>
      <c r="B45" s="118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8"/>
      <c r="Q45" s="118"/>
      <c r="R45" s="118"/>
      <c r="S45" s="6"/>
    </row>
    <row r="46" spans="1:30" x14ac:dyDescent="0.25">
      <c r="A46" s="15"/>
      <c r="B46" s="118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6"/>
    </row>
    <row r="47" spans="1:30" ht="15" customHeight="1" x14ac:dyDescent="0.25">
      <c r="A47" s="14"/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6"/>
    </row>
    <row r="48" spans="1:30" ht="15" customHeight="1" x14ac:dyDescent="0.25">
      <c r="A48" s="14"/>
      <c r="B48" s="118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6"/>
    </row>
    <row r="49" spans="1:19" ht="15" customHeight="1" x14ac:dyDescent="0.25">
      <c r="A49" s="14"/>
      <c r="B49" s="118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6"/>
    </row>
    <row r="50" spans="1:19" ht="15" customHeight="1" x14ac:dyDescent="0.25">
      <c r="A50" s="80"/>
      <c r="B50" s="54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6"/>
    </row>
    <row r="51" spans="1:19" ht="15" customHeight="1" x14ac:dyDescent="0.25">
      <c r="A51" s="80"/>
      <c r="B51" s="59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"/>
    </row>
    <row r="52" spans="1:19" ht="15" customHeight="1" x14ac:dyDescent="0.25">
      <c r="A52" s="80"/>
      <c r="B52" s="54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6"/>
    </row>
    <row r="53" spans="1:19" x14ac:dyDescent="0.25">
      <c r="A53" s="15"/>
      <c r="S53" s="6"/>
    </row>
    <row r="54" spans="1:19" ht="15" customHeight="1" x14ac:dyDescent="0.25">
      <c r="A54" s="127" t="s">
        <v>163</v>
      </c>
      <c r="B54" s="118"/>
      <c r="C54" s="118"/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6"/>
    </row>
    <row r="55" spans="1:19" x14ac:dyDescent="0.25">
      <c r="A55" s="127"/>
      <c r="B55" s="118"/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6"/>
    </row>
    <row r="56" spans="1:19" x14ac:dyDescent="0.25">
      <c r="A56" s="127"/>
      <c r="B56" s="118"/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6"/>
    </row>
    <row r="57" spans="1:19" x14ac:dyDescent="0.25">
      <c r="A57" s="127"/>
      <c r="B57" s="118"/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6"/>
    </row>
    <row r="58" spans="1:19" x14ac:dyDescent="0.25">
      <c r="A58" s="127"/>
      <c r="B58" s="118"/>
      <c r="C58" s="118"/>
      <c r="D58" s="118"/>
      <c r="E58" s="118"/>
      <c r="F58" s="118"/>
      <c r="G58" s="118"/>
      <c r="H58" s="118"/>
      <c r="I58" s="118"/>
      <c r="J58" s="118"/>
      <c r="K58" s="118"/>
      <c r="L58" s="118"/>
      <c r="M58" s="118"/>
      <c r="N58" s="118"/>
      <c r="O58" s="118"/>
      <c r="P58" s="118"/>
      <c r="Q58" s="118"/>
      <c r="R58" s="118"/>
      <c r="S58" s="6"/>
    </row>
    <row r="59" spans="1:19" x14ac:dyDescent="0.25">
      <c r="A59" s="127"/>
      <c r="B59" s="118"/>
      <c r="C59" s="118"/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6"/>
    </row>
    <row r="60" spans="1:19" x14ac:dyDescent="0.25">
      <c r="A60" s="127"/>
      <c r="B60" s="118"/>
      <c r="C60" s="118"/>
      <c r="D60" s="118"/>
      <c r="E60" s="118"/>
      <c r="F60" s="118"/>
      <c r="G60" s="118"/>
      <c r="H60" s="118"/>
      <c r="I60" s="118"/>
      <c r="J60" s="118"/>
      <c r="K60" s="118"/>
      <c r="L60" s="118"/>
      <c r="M60" s="118"/>
      <c r="N60" s="118"/>
      <c r="O60" s="118"/>
      <c r="P60" s="118"/>
      <c r="Q60" s="118"/>
      <c r="R60" s="118"/>
      <c r="S60" s="6"/>
    </row>
    <row r="61" spans="1:19" x14ac:dyDescent="0.25">
      <c r="A61" s="127"/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6"/>
    </row>
    <row r="62" spans="1:19" x14ac:dyDescent="0.25">
      <c r="A62" s="127"/>
      <c r="B62" s="118"/>
      <c r="C62" s="118"/>
      <c r="D62" s="118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6"/>
    </row>
    <row r="63" spans="1:19" x14ac:dyDescent="0.25">
      <c r="A63" s="127"/>
      <c r="B63" s="118"/>
      <c r="C63" s="118"/>
      <c r="D63" s="118"/>
      <c r="E63" s="118"/>
      <c r="F63" s="118"/>
      <c r="G63" s="118"/>
      <c r="H63" s="118"/>
      <c r="I63" s="118"/>
      <c r="J63" s="118"/>
      <c r="K63" s="118"/>
      <c r="L63" s="118"/>
      <c r="M63" s="118"/>
      <c r="N63" s="118"/>
      <c r="O63" s="118"/>
      <c r="P63" s="118"/>
      <c r="Q63" s="118"/>
      <c r="R63" s="118"/>
      <c r="S63" s="6"/>
    </row>
    <row r="64" spans="1:19" x14ac:dyDescent="0.25">
      <c r="A64" s="127"/>
      <c r="B64" s="118"/>
      <c r="C64" s="118"/>
      <c r="D64" s="118"/>
      <c r="E64" s="118"/>
      <c r="F64" s="118"/>
      <c r="G64" s="118"/>
      <c r="H64" s="118"/>
      <c r="I64" s="118"/>
      <c r="J64" s="118"/>
      <c r="K64" s="118"/>
      <c r="L64" s="118"/>
      <c r="M64" s="118"/>
      <c r="N64" s="118"/>
      <c r="O64" s="118"/>
      <c r="P64" s="118"/>
      <c r="Q64" s="118"/>
      <c r="R64" s="118"/>
      <c r="S64" s="6"/>
    </row>
    <row r="65" spans="1:19" x14ac:dyDescent="0.25">
      <c r="A65" s="127"/>
      <c r="B65" s="118"/>
      <c r="C65" s="118"/>
      <c r="D65" s="118"/>
      <c r="E65" s="118"/>
      <c r="F65" s="118"/>
      <c r="G65" s="118"/>
      <c r="H65" s="118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6"/>
    </row>
    <row r="66" spans="1:19" x14ac:dyDescent="0.25">
      <c r="A66" s="127"/>
      <c r="B66" s="118"/>
      <c r="C66" s="118"/>
      <c r="D66" s="118"/>
      <c r="E66" s="118"/>
      <c r="F66" s="118"/>
      <c r="G66" s="118"/>
      <c r="H66" s="118"/>
      <c r="I66" s="118"/>
      <c r="J66" s="118"/>
      <c r="K66" s="118"/>
      <c r="L66" s="118"/>
      <c r="M66" s="118"/>
      <c r="N66" s="118"/>
      <c r="O66" s="118"/>
      <c r="P66" s="118"/>
      <c r="Q66" s="118"/>
      <c r="R66" s="118"/>
      <c r="S66" s="6"/>
    </row>
    <row r="67" spans="1:19" x14ac:dyDescent="0.25">
      <c r="A67" s="127"/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6"/>
    </row>
    <row r="68" spans="1:19" x14ac:dyDescent="0.25">
      <c r="A68" s="127"/>
      <c r="B68" s="118"/>
      <c r="C68" s="118"/>
      <c r="D68" s="118"/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118"/>
      <c r="Q68" s="118"/>
      <c r="R68" s="118"/>
      <c r="S68" s="6"/>
    </row>
    <row r="69" spans="1:19" x14ac:dyDescent="0.25">
      <c r="A69" s="127"/>
      <c r="B69" s="118"/>
      <c r="C69" s="118"/>
      <c r="D69" s="118"/>
      <c r="E69" s="118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118"/>
      <c r="Q69" s="118"/>
      <c r="R69" s="118"/>
      <c r="S69" s="6"/>
    </row>
    <row r="70" spans="1:19" x14ac:dyDescent="0.25">
      <c r="A70" s="127"/>
      <c r="B70" s="118"/>
      <c r="C70" s="118"/>
      <c r="D70" s="118"/>
      <c r="E70" s="118"/>
      <c r="F70" s="118"/>
      <c r="G70" s="118"/>
      <c r="H70" s="118"/>
      <c r="I70" s="118"/>
      <c r="J70" s="118"/>
      <c r="K70" s="118"/>
      <c r="L70" s="118"/>
      <c r="M70" s="118"/>
      <c r="N70" s="118"/>
      <c r="O70" s="118"/>
      <c r="P70" s="118"/>
      <c r="Q70" s="118"/>
      <c r="R70" s="118"/>
      <c r="S70" s="6"/>
    </row>
    <row r="71" spans="1:19" x14ac:dyDescent="0.25">
      <c r="A71" s="127"/>
      <c r="B71" s="118"/>
      <c r="C71" s="118"/>
      <c r="D71" s="118"/>
      <c r="E71" s="118"/>
      <c r="F71" s="118"/>
      <c r="G71" s="118"/>
      <c r="H71" s="118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6"/>
    </row>
    <row r="72" spans="1:19" x14ac:dyDescent="0.25">
      <c r="A72" s="127"/>
      <c r="B72" s="118"/>
      <c r="C72" s="118"/>
      <c r="D72" s="118"/>
      <c r="E72" s="118"/>
      <c r="F72" s="118"/>
      <c r="G72" s="118"/>
      <c r="H72" s="118"/>
      <c r="I72" s="118"/>
      <c r="J72" s="118"/>
      <c r="K72" s="118"/>
      <c r="L72" s="118"/>
      <c r="M72" s="118"/>
      <c r="N72" s="118"/>
      <c r="O72" s="118"/>
      <c r="P72" s="118"/>
      <c r="Q72" s="118"/>
      <c r="R72" s="118"/>
      <c r="S72" s="6"/>
    </row>
    <row r="73" spans="1:19" x14ac:dyDescent="0.25">
      <c r="A73" s="127"/>
      <c r="B73" s="118"/>
      <c r="C73" s="118"/>
      <c r="D73" s="118"/>
      <c r="E73" s="118"/>
      <c r="F73" s="118"/>
      <c r="G73" s="118"/>
      <c r="H73" s="118"/>
      <c r="I73" s="118"/>
      <c r="J73" s="118"/>
      <c r="K73" s="118"/>
      <c r="L73" s="118"/>
      <c r="M73" s="118"/>
      <c r="N73" s="118"/>
      <c r="O73" s="118"/>
      <c r="P73" s="118"/>
      <c r="Q73" s="118"/>
      <c r="R73" s="118"/>
      <c r="S73" s="6"/>
    </row>
    <row r="74" spans="1:19" x14ac:dyDescent="0.25">
      <c r="A74" s="127"/>
      <c r="B74" s="118"/>
      <c r="C74" s="118"/>
      <c r="D74" s="118"/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6"/>
    </row>
    <row r="75" spans="1:19" x14ac:dyDescent="0.25">
      <c r="A75" s="127"/>
      <c r="B75" s="118"/>
      <c r="C75" s="118"/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6"/>
    </row>
    <row r="76" spans="1:19" x14ac:dyDescent="0.25">
      <c r="A76" s="127"/>
      <c r="B76" s="118"/>
      <c r="C76" s="118"/>
      <c r="D76" s="118"/>
      <c r="E76" s="118"/>
      <c r="F76" s="118"/>
      <c r="G76" s="118"/>
      <c r="H76" s="118"/>
      <c r="I76" s="118"/>
      <c r="J76" s="118"/>
      <c r="K76" s="118"/>
      <c r="L76" s="118"/>
      <c r="M76" s="118"/>
      <c r="N76" s="118"/>
      <c r="O76" s="118"/>
      <c r="P76" s="118"/>
      <c r="Q76" s="118"/>
      <c r="R76" s="118"/>
      <c r="S76" s="6"/>
    </row>
    <row r="77" spans="1:19" x14ac:dyDescent="0.25">
      <c r="A77" s="127"/>
      <c r="B77" s="118"/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6"/>
    </row>
    <row r="78" spans="1:19" x14ac:dyDescent="0.25">
      <c r="A78" s="127"/>
      <c r="B78" s="118"/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6"/>
    </row>
    <row r="79" spans="1:19" x14ac:dyDescent="0.25">
      <c r="A79" s="127"/>
      <c r="B79" s="118"/>
      <c r="C79" s="118"/>
      <c r="D79" s="118"/>
      <c r="E79" s="118"/>
      <c r="F79" s="118"/>
      <c r="G79" s="118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6"/>
    </row>
    <row r="80" spans="1:19" x14ac:dyDescent="0.25">
      <c r="A80" s="127"/>
      <c r="B80" s="118"/>
      <c r="C80" s="118"/>
      <c r="D80" s="118"/>
      <c r="E80" s="118"/>
      <c r="F80" s="118"/>
      <c r="G80" s="118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6"/>
    </row>
    <row r="81" spans="1:26" x14ac:dyDescent="0.25">
      <c r="A81" s="127"/>
      <c r="B81" s="118"/>
      <c r="C81" s="118"/>
      <c r="D81" s="118"/>
      <c r="E81" s="118"/>
      <c r="F81" s="118"/>
      <c r="G81" s="118"/>
      <c r="H81" s="118"/>
      <c r="I81" s="118"/>
      <c r="J81" s="118"/>
      <c r="K81" s="118"/>
      <c r="L81" s="118"/>
      <c r="M81" s="118"/>
      <c r="N81" s="118"/>
      <c r="O81" s="118"/>
      <c r="P81" s="118"/>
      <c r="Q81" s="118"/>
      <c r="R81" s="118"/>
      <c r="S81" s="6"/>
    </row>
    <row r="82" spans="1:26" x14ac:dyDescent="0.25">
      <c r="A82" s="127"/>
      <c r="B82" s="118"/>
      <c r="C82" s="118"/>
      <c r="D82" s="118"/>
      <c r="E82" s="118"/>
      <c r="F82" s="118"/>
      <c r="G82" s="118"/>
      <c r="H82" s="118"/>
      <c r="I82" s="118"/>
      <c r="J82" s="118"/>
      <c r="K82" s="118"/>
      <c r="L82" s="118"/>
      <c r="M82" s="118"/>
      <c r="N82" s="118"/>
      <c r="O82" s="118"/>
      <c r="P82" s="118"/>
      <c r="Q82" s="118"/>
      <c r="R82" s="118"/>
      <c r="S82" s="6"/>
    </row>
    <row r="83" spans="1:26" x14ac:dyDescent="0.25">
      <c r="A83" s="127"/>
      <c r="B83" s="118"/>
      <c r="C83" s="118"/>
      <c r="D83" s="118"/>
      <c r="E83" s="118"/>
      <c r="F83" s="118"/>
      <c r="G83" s="118"/>
      <c r="H83" s="118"/>
      <c r="I83" s="118"/>
      <c r="J83" s="118"/>
      <c r="K83" s="118"/>
      <c r="L83" s="118"/>
      <c r="M83" s="118"/>
      <c r="N83" s="118"/>
      <c r="O83" s="118"/>
      <c r="P83" s="118"/>
      <c r="Q83" s="118"/>
      <c r="R83" s="118"/>
      <c r="S83" s="6"/>
    </row>
    <row r="84" spans="1:26" x14ac:dyDescent="0.25">
      <c r="A84" s="127"/>
      <c r="B84" s="118"/>
      <c r="C84" s="118"/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118"/>
      <c r="Q84" s="118"/>
      <c r="R84" s="118"/>
      <c r="S84" s="6"/>
    </row>
    <row r="85" spans="1:26" x14ac:dyDescent="0.25">
      <c r="A85" s="127"/>
      <c r="B85" s="118"/>
      <c r="C85" s="118"/>
      <c r="D85" s="118"/>
      <c r="E85" s="118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118"/>
      <c r="Q85" s="118"/>
      <c r="R85" s="118"/>
      <c r="S85" s="6"/>
    </row>
    <row r="86" spans="1:26" x14ac:dyDescent="0.25">
      <c r="A86" s="127"/>
      <c r="B86" s="118"/>
      <c r="C86" s="118"/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8"/>
      <c r="Q86" s="118"/>
      <c r="R86" s="118"/>
      <c r="S86" s="6"/>
      <c r="Z86" s="30"/>
    </row>
    <row r="87" spans="1:26" x14ac:dyDescent="0.25">
      <c r="A87" s="127"/>
      <c r="B87" s="118"/>
      <c r="C87" s="118"/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118"/>
      <c r="Q87" s="118"/>
      <c r="R87" s="118"/>
      <c r="S87" s="6"/>
    </row>
    <row r="88" spans="1:26" x14ac:dyDescent="0.25">
      <c r="A88" s="127"/>
      <c r="B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6"/>
    </row>
    <row r="89" spans="1:26" x14ac:dyDescent="0.25">
      <c r="A89" s="127"/>
      <c r="B89" s="11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18"/>
      <c r="O89" s="118"/>
      <c r="P89" s="118"/>
      <c r="Q89" s="118"/>
      <c r="R89" s="118"/>
      <c r="S89" s="6"/>
    </row>
    <row r="90" spans="1:26" x14ac:dyDescent="0.25">
      <c r="A90" s="127"/>
      <c r="B90" s="118"/>
      <c r="C90" s="118"/>
      <c r="D90" s="118"/>
      <c r="E90" s="118"/>
      <c r="F90" s="118"/>
      <c r="G90" s="118"/>
      <c r="H90" s="118"/>
      <c r="I90" s="118"/>
      <c r="J90" s="118"/>
      <c r="K90" s="118"/>
      <c r="L90" s="118"/>
      <c r="M90" s="118"/>
      <c r="N90" s="118"/>
      <c r="O90" s="118"/>
      <c r="P90" s="118"/>
      <c r="Q90" s="118"/>
      <c r="R90" s="118"/>
      <c r="S90" s="76"/>
    </row>
    <row r="91" spans="1:26" x14ac:dyDescent="0.25">
      <c r="A91" s="127"/>
      <c r="B91" s="118"/>
      <c r="C91" s="118"/>
      <c r="D91" s="118"/>
      <c r="E91" s="118"/>
      <c r="F91" s="118"/>
      <c r="G91" s="118"/>
      <c r="H91" s="118"/>
      <c r="I91" s="118"/>
      <c r="J91" s="118"/>
      <c r="K91" s="118"/>
      <c r="L91" s="118"/>
      <c r="M91" s="118"/>
      <c r="N91" s="118"/>
      <c r="O91" s="118"/>
      <c r="P91" s="118"/>
      <c r="Q91" s="118"/>
      <c r="R91" s="118"/>
      <c r="S91" s="77"/>
    </row>
    <row r="92" spans="1:26" ht="15" customHeight="1" x14ac:dyDescent="0.25">
      <c r="A92" s="127"/>
      <c r="B92" s="118"/>
      <c r="C92" s="118"/>
      <c r="D92" s="118"/>
      <c r="E92" s="118"/>
      <c r="F92" s="118"/>
      <c r="G92" s="118"/>
      <c r="H92" s="118"/>
      <c r="I92" s="118"/>
      <c r="J92" s="118"/>
      <c r="K92" s="118"/>
      <c r="L92" s="118"/>
      <c r="M92" s="118"/>
      <c r="N92" s="118"/>
      <c r="O92" s="118"/>
      <c r="P92" s="118"/>
      <c r="Q92" s="118"/>
      <c r="R92" s="118"/>
      <c r="S92" s="77"/>
    </row>
    <row r="93" spans="1:26" ht="15" customHeight="1" x14ac:dyDescent="0.25">
      <c r="A93" s="14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77"/>
    </row>
    <row r="94" spans="1:26" ht="15" customHeight="1" x14ac:dyDescent="0.25">
      <c r="A94" s="14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77"/>
    </row>
    <row r="95" spans="1:26" ht="15" customHeight="1" x14ac:dyDescent="0.25">
      <c r="A95" s="80"/>
      <c r="B95" s="54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77"/>
    </row>
    <row r="96" spans="1:26" ht="15" customHeight="1" x14ac:dyDescent="0.25">
      <c r="A96" s="80"/>
      <c r="B96" s="54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77"/>
    </row>
    <row r="97" spans="1:19" ht="15" customHeight="1" x14ac:dyDescent="0.25">
      <c r="A97" s="80"/>
      <c r="B97" s="125"/>
      <c r="C97" s="125"/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77"/>
    </row>
    <row r="98" spans="1:19" ht="15" customHeight="1" x14ac:dyDescent="0.25">
      <c r="A98" s="82"/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77"/>
    </row>
    <row r="99" spans="1:19" ht="15" customHeight="1" x14ac:dyDescent="0.25">
      <c r="A99" s="128"/>
      <c r="B99" s="125"/>
      <c r="C99" s="125"/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6"/>
    </row>
    <row r="100" spans="1:19" ht="15" customHeight="1" x14ac:dyDescent="0.25">
      <c r="A100" s="128"/>
      <c r="B100" s="125"/>
      <c r="C100" s="125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6"/>
    </row>
    <row r="101" spans="1:19" ht="15" customHeight="1" x14ac:dyDescent="0.25">
      <c r="A101" s="128"/>
      <c r="B101" s="125"/>
      <c r="C101" s="125"/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6"/>
    </row>
    <row r="102" spans="1:19" ht="15" customHeight="1" x14ac:dyDescent="0.25">
      <c r="A102" s="128"/>
      <c r="B102" s="125"/>
      <c r="C102" s="125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6"/>
    </row>
    <row r="103" spans="1:19" ht="15" customHeight="1" x14ac:dyDescent="0.25">
      <c r="A103" s="128"/>
      <c r="B103" s="125"/>
      <c r="C103" s="125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6"/>
    </row>
    <row r="104" spans="1:19" ht="15" customHeight="1" x14ac:dyDescent="0.25">
      <c r="A104" s="128"/>
      <c r="B104" s="125"/>
      <c r="C104" s="125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6"/>
    </row>
    <row r="105" spans="1:19" ht="15" customHeight="1" x14ac:dyDescent="0.25">
      <c r="A105" s="128"/>
      <c r="B105" s="125"/>
      <c r="C105" s="125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6"/>
    </row>
    <row r="106" spans="1:19" ht="15" customHeight="1" x14ac:dyDescent="0.25">
      <c r="A106" s="128"/>
      <c r="B106" s="125"/>
      <c r="C106" s="125"/>
      <c r="D106" s="125"/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6"/>
    </row>
    <row r="107" spans="1:19" ht="15" customHeight="1" x14ac:dyDescent="0.25">
      <c r="A107" s="128"/>
      <c r="B107" s="125"/>
      <c r="C107" s="125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6"/>
    </row>
    <row r="108" spans="1:19" ht="15" customHeight="1" x14ac:dyDescent="0.25">
      <c r="A108" s="128"/>
      <c r="B108" s="125"/>
      <c r="C108" s="125"/>
      <c r="D108" s="125"/>
      <c r="E108" s="125"/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6"/>
    </row>
    <row r="109" spans="1:19" ht="15" customHeight="1" x14ac:dyDescent="0.25">
      <c r="A109" s="128"/>
      <c r="B109" s="125"/>
      <c r="C109" s="125"/>
      <c r="D109" s="125"/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6"/>
    </row>
    <row r="110" spans="1:19" ht="15" customHeight="1" x14ac:dyDescent="0.25">
      <c r="A110" s="128"/>
      <c r="B110" s="125"/>
      <c r="C110" s="125"/>
      <c r="D110" s="125"/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6"/>
    </row>
    <row r="111" spans="1:19" ht="15" customHeight="1" x14ac:dyDescent="0.25">
      <c r="A111" s="128"/>
      <c r="B111" s="125"/>
      <c r="C111" s="125"/>
      <c r="D111" s="125"/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6"/>
    </row>
    <row r="112" spans="1:19" ht="15" customHeight="1" x14ac:dyDescent="0.25">
      <c r="A112" s="128"/>
      <c r="B112" s="125"/>
      <c r="C112" s="125"/>
      <c r="D112" s="125"/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6"/>
    </row>
    <row r="113" spans="1:19" ht="15" customHeight="1" x14ac:dyDescent="0.25">
      <c r="A113" s="128"/>
      <c r="B113" s="125"/>
      <c r="C113" s="125"/>
      <c r="D113" s="125"/>
      <c r="E113" s="125"/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6"/>
    </row>
    <row r="114" spans="1:19" ht="15" customHeight="1" x14ac:dyDescent="0.25">
      <c r="A114" s="128"/>
      <c r="B114" s="125"/>
      <c r="C114" s="125"/>
      <c r="D114" s="125"/>
      <c r="E114" s="125"/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6"/>
    </row>
    <row r="115" spans="1:19" ht="15" customHeight="1" x14ac:dyDescent="0.25">
      <c r="A115" s="128"/>
      <c r="B115" s="125"/>
      <c r="C115" s="125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6"/>
    </row>
    <row r="116" spans="1:19" ht="15" customHeight="1" x14ac:dyDescent="0.25">
      <c r="A116" s="128"/>
      <c r="B116" s="125"/>
      <c r="C116" s="125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6"/>
    </row>
    <row r="117" spans="1:19" ht="15" customHeight="1" x14ac:dyDescent="0.25">
      <c r="A117" s="128"/>
      <c r="B117" s="125"/>
      <c r="C117" s="125"/>
      <c r="D117" s="125"/>
      <c r="E117" s="125"/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6"/>
    </row>
    <row r="118" spans="1:19" ht="15" customHeight="1" x14ac:dyDescent="0.25">
      <c r="A118" s="128"/>
      <c r="B118" s="125"/>
      <c r="C118" s="125"/>
      <c r="D118" s="125"/>
      <c r="E118" s="125"/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6"/>
    </row>
    <row r="119" spans="1:19" ht="15" customHeight="1" x14ac:dyDescent="0.25">
      <c r="A119" s="128"/>
      <c r="B119" s="125"/>
      <c r="C119" s="125"/>
      <c r="D119" s="125"/>
      <c r="E119" s="125"/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6"/>
    </row>
    <row r="120" spans="1:19" ht="15" customHeight="1" x14ac:dyDescent="0.25">
      <c r="A120" s="128"/>
      <c r="B120" s="125"/>
      <c r="C120" s="125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6"/>
    </row>
    <row r="121" spans="1:19" ht="15" customHeight="1" x14ac:dyDescent="0.25">
      <c r="A121" s="128"/>
      <c r="B121" s="125"/>
      <c r="C121" s="125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6"/>
    </row>
    <row r="122" spans="1:19" ht="15" customHeight="1" x14ac:dyDescent="0.25">
      <c r="A122" s="128"/>
      <c r="B122" s="125"/>
      <c r="C122" s="125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6"/>
    </row>
    <row r="123" spans="1:19" ht="15" customHeight="1" x14ac:dyDescent="0.25">
      <c r="A123" s="128"/>
      <c r="B123" s="125"/>
      <c r="C123" s="125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6"/>
    </row>
    <row r="124" spans="1:19" ht="15" customHeight="1" x14ac:dyDescent="0.25">
      <c r="A124" s="128"/>
      <c r="B124" s="125"/>
      <c r="C124" s="125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6"/>
    </row>
    <row r="125" spans="1:19" ht="15" customHeight="1" x14ac:dyDescent="0.25">
      <c r="A125" s="128"/>
      <c r="B125" s="125"/>
      <c r="C125" s="125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6"/>
    </row>
    <row r="126" spans="1:19" ht="15" customHeight="1" x14ac:dyDescent="0.25">
      <c r="A126" s="128"/>
      <c r="B126" s="125"/>
      <c r="C126" s="125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6"/>
    </row>
    <row r="127" spans="1:19" ht="15" customHeight="1" x14ac:dyDescent="0.25">
      <c r="A127" s="128"/>
      <c r="B127" s="125"/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6"/>
    </row>
    <row r="128" spans="1:19" ht="15" customHeight="1" x14ac:dyDescent="0.25">
      <c r="A128" s="128"/>
      <c r="B128" s="125"/>
      <c r="C128" s="125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6"/>
    </row>
    <row r="129" spans="1:27" ht="15" customHeight="1" x14ac:dyDescent="0.25">
      <c r="A129" s="128"/>
      <c r="B129" s="125"/>
      <c r="C129" s="125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6"/>
    </row>
    <row r="130" spans="1:27" ht="15" customHeight="1" x14ac:dyDescent="0.25">
      <c r="A130" s="128"/>
      <c r="B130" s="125"/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6"/>
    </row>
    <row r="131" spans="1:27" ht="15" customHeight="1" x14ac:dyDescent="0.25">
      <c r="A131" s="128"/>
      <c r="B131" s="125"/>
      <c r="C131" s="125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6"/>
    </row>
    <row r="132" spans="1:27" ht="15" customHeight="1" x14ac:dyDescent="0.25">
      <c r="A132" s="5"/>
      <c r="B132" s="125"/>
      <c r="C132" s="125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6"/>
    </row>
    <row r="133" spans="1:27" ht="15" customHeight="1" x14ac:dyDescent="0.25">
      <c r="A133" s="5"/>
      <c r="B133" s="125"/>
      <c r="C133" s="125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6"/>
    </row>
    <row r="134" spans="1:27" ht="15" customHeight="1" x14ac:dyDescent="0.25">
      <c r="A134" s="5"/>
      <c r="B134" s="125"/>
      <c r="C134" s="125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6"/>
    </row>
    <row r="135" spans="1:27" ht="15" customHeight="1" x14ac:dyDescent="0.25">
      <c r="A135" s="5"/>
      <c r="B135" s="125"/>
      <c r="C135" s="125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6"/>
    </row>
    <row r="136" spans="1:27" x14ac:dyDescent="0.25">
      <c r="A136" s="15"/>
      <c r="S136" s="6"/>
    </row>
    <row r="137" spans="1:27" ht="15" customHeight="1" x14ac:dyDescent="0.25">
      <c r="A137" s="14"/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6"/>
    </row>
    <row r="138" spans="1:27" ht="15" customHeight="1" x14ac:dyDescent="0.25">
      <c r="A138" s="14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6"/>
    </row>
    <row r="139" spans="1:27" ht="15" customHeight="1" x14ac:dyDescent="0.25">
      <c r="A139" s="14"/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6"/>
    </row>
    <row r="140" spans="1:27" ht="15" customHeight="1" x14ac:dyDescent="0.25">
      <c r="A140" s="80"/>
      <c r="B140" s="54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76"/>
    </row>
    <row r="141" spans="1:27" ht="15" customHeight="1" x14ac:dyDescent="0.25">
      <c r="A141" s="80"/>
      <c r="B141" s="54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76"/>
    </row>
    <row r="142" spans="1:27" ht="15" customHeight="1" x14ac:dyDescent="0.25">
      <c r="A142" s="83"/>
      <c r="B142" s="59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78"/>
    </row>
    <row r="143" spans="1:27" x14ac:dyDescent="0.25">
      <c r="G143" s="30"/>
      <c r="AA143" s="2"/>
    </row>
    <row r="144" spans="1:27" ht="15" customHeight="1" x14ac:dyDescent="0.25">
      <c r="G144" s="30"/>
      <c r="AA144" s="2"/>
    </row>
    <row r="145" spans="7:27" x14ac:dyDescent="0.25">
      <c r="G145" s="30"/>
      <c r="AA145" s="2"/>
    </row>
    <row r="146" spans="7:27" x14ac:dyDescent="0.25">
      <c r="G146" s="30"/>
      <c r="AA146" s="2"/>
    </row>
    <row r="147" spans="7:27" x14ac:dyDescent="0.25">
      <c r="G147" s="30"/>
      <c r="AA147" s="2"/>
    </row>
    <row r="148" spans="7:27" x14ac:dyDescent="0.25">
      <c r="G148" s="30"/>
      <c r="AA148" s="2"/>
    </row>
    <row r="149" spans="7:27" x14ac:dyDescent="0.25">
      <c r="G149" s="30"/>
      <c r="AA149" s="2"/>
    </row>
    <row r="150" spans="7:27" x14ac:dyDescent="0.25">
      <c r="G150" s="30"/>
      <c r="AA150" s="2"/>
    </row>
    <row r="151" spans="7:27" x14ac:dyDescent="0.25">
      <c r="G151" s="30"/>
      <c r="AA151" s="2"/>
    </row>
    <row r="152" spans="7:27" x14ac:dyDescent="0.25">
      <c r="G152" s="30"/>
      <c r="AA152" s="2"/>
    </row>
    <row r="153" spans="7:27" x14ac:dyDescent="0.25">
      <c r="G153" s="30"/>
      <c r="AA153" s="2"/>
    </row>
    <row r="154" spans="7:27" x14ac:dyDescent="0.25">
      <c r="G154" s="30"/>
      <c r="AA154" s="2"/>
    </row>
    <row r="155" spans="7:27" x14ac:dyDescent="0.25">
      <c r="G155" s="30"/>
      <c r="AA155" s="2"/>
    </row>
    <row r="156" spans="7:27" x14ac:dyDescent="0.25">
      <c r="G156" s="30"/>
      <c r="AA156" s="2"/>
    </row>
    <row r="157" spans="7:27" x14ac:dyDescent="0.25">
      <c r="G157" s="30"/>
      <c r="AA157" s="2"/>
    </row>
    <row r="158" spans="7:27" x14ac:dyDescent="0.25">
      <c r="G158" s="30"/>
      <c r="AA158" s="2"/>
    </row>
    <row r="159" spans="7:27" x14ac:dyDescent="0.25">
      <c r="G159" s="30"/>
      <c r="AA159" s="2"/>
    </row>
    <row r="160" spans="7:27" x14ac:dyDescent="0.25">
      <c r="G160" s="30"/>
      <c r="AA160" s="2"/>
    </row>
    <row r="161" spans="7:27" x14ac:dyDescent="0.25">
      <c r="G161" s="30"/>
      <c r="AA161" s="2"/>
    </row>
    <row r="162" spans="7:27" x14ac:dyDescent="0.25">
      <c r="G162" s="30"/>
      <c r="AA162" s="2"/>
    </row>
    <row r="163" spans="7:27" x14ac:dyDescent="0.25">
      <c r="G163" s="30"/>
      <c r="AA163" s="2"/>
    </row>
    <row r="164" spans="7:27" x14ac:dyDescent="0.25">
      <c r="G164" s="30"/>
      <c r="AA164" s="2"/>
    </row>
    <row r="165" spans="7:27" x14ac:dyDescent="0.25">
      <c r="G165" s="30"/>
      <c r="AA165" s="2"/>
    </row>
    <row r="166" spans="7:27" x14ac:dyDescent="0.25">
      <c r="G166" s="30"/>
      <c r="AA166" s="2"/>
    </row>
    <row r="167" spans="7:27" x14ac:dyDescent="0.25">
      <c r="G167" s="30"/>
      <c r="AA167" s="2"/>
    </row>
    <row r="168" spans="7:27" x14ac:dyDescent="0.25">
      <c r="G168" s="30"/>
      <c r="AA168" s="2"/>
    </row>
    <row r="169" spans="7:27" x14ac:dyDescent="0.25">
      <c r="G169" s="30"/>
      <c r="AA169" s="2"/>
    </row>
    <row r="170" spans="7:27" x14ac:dyDescent="0.25">
      <c r="G170" s="30"/>
      <c r="AA170" s="2"/>
    </row>
    <row r="171" spans="7:27" x14ac:dyDescent="0.25">
      <c r="G171" s="30"/>
      <c r="AA171" s="2"/>
    </row>
    <row r="172" spans="7:27" x14ac:dyDescent="0.25">
      <c r="G172" s="30"/>
      <c r="AA172" s="2"/>
    </row>
    <row r="173" spans="7:27" x14ac:dyDescent="0.25">
      <c r="G173" s="30"/>
      <c r="AA173" s="2"/>
    </row>
    <row r="174" spans="7:27" x14ac:dyDescent="0.25">
      <c r="G174" s="30"/>
      <c r="AA174" s="2"/>
    </row>
    <row r="175" spans="7:27" x14ac:dyDescent="0.25">
      <c r="G175" s="30"/>
      <c r="AA175" s="2"/>
    </row>
    <row r="176" spans="7:27" x14ac:dyDescent="0.25">
      <c r="G176" s="30"/>
      <c r="AA176" s="2"/>
    </row>
    <row r="177" spans="7:27" x14ac:dyDescent="0.25">
      <c r="G177" s="30"/>
      <c r="AA177" s="2"/>
    </row>
    <row r="178" spans="7:27" x14ac:dyDescent="0.25">
      <c r="G178" s="30"/>
      <c r="AA178" s="2"/>
    </row>
    <row r="179" spans="7:27" x14ac:dyDescent="0.25">
      <c r="G179" s="30"/>
      <c r="AA179" s="2"/>
    </row>
    <row r="180" spans="7:27" x14ac:dyDescent="0.25">
      <c r="G180" s="30"/>
      <c r="AA180" s="2"/>
    </row>
    <row r="181" spans="7:27" x14ac:dyDescent="0.25">
      <c r="G181" s="30"/>
      <c r="AA181" s="2"/>
    </row>
    <row r="182" spans="7:27" ht="15" customHeight="1" x14ac:dyDescent="0.25">
      <c r="G182" s="30"/>
      <c r="AA182" s="2"/>
    </row>
    <row r="183" spans="7:27" ht="15" customHeight="1" x14ac:dyDescent="0.25">
      <c r="G183" s="30"/>
      <c r="AA183" s="2"/>
    </row>
    <row r="184" spans="7:27" ht="15" customHeight="1" x14ac:dyDescent="0.25">
      <c r="G184" s="30"/>
      <c r="AA184" s="2"/>
    </row>
    <row r="185" spans="7:27" ht="15" customHeight="1" x14ac:dyDescent="0.25">
      <c r="G185" s="30"/>
      <c r="AA185" s="2"/>
    </row>
    <row r="186" spans="7:27" ht="15" customHeight="1" x14ac:dyDescent="0.25">
      <c r="G186" s="30"/>
      <c r="AA186" s="2"/>
    </row>
    <row r="187" spans="7:27" ht="15" customHeight="1" x14ac:dyDescent="0.25">
      <c r="G187" s="30"/>
      <c r="AA187" s="2"/>
    </row>
    <row r="188" spans="7:27" x14ac:dyDescent="0.25">
      <c r="G188" s="30"/>
      <c r="AA188" s="2"/>
    </row>
    <row r="189" spans="7:27" ht="15" customHeight="1" x14ac:dyDescent="0.25">
      <c r="G189" s="30"/>
      <c r="AA189" s="2"/>
    </row>
    <row r="190" spans="7:27" x14ac:dyDescent="0.25">
      <c r="G190" s="30"/>
      <c r="AA190" s="2"/>
    </row>
    <row r="191" spans="7:27" x14ac:dyDescent="0.25">
      <c r="G191" s="30"/>
      <c r="AA191" s="2"/>
    </row>
    <row r="192" spans="7:27" x14ac:dyDescent="0.25">
      <c r="G192" s="30"/>
      <c r="AA192" s="2"/>
    </row>
    <row r="193" spans="7:27" x14ac:dyDescent="0.25">
      <c r="G193" s="30"/>
      <c r="AA193" s="2"/>
    </row>
    <row r="194" spans="7:27" x14ac:dyDescent="0.25">
      <c r="G194" s="30"/>
      <c r="AA194" s="2"/>
    </row>
    <row r="195" spans="7:27" x14ac:dyDescent="0.25">
      <c r="G195" s="30"/>
      <c r="AA195" s="2"/>
    </row>
    <row r="196" spans="7:27" x14ac:dyDescent="0.25">
      <c r="G196" s="30"/>
      <c r="AA196" s="2"/>
    </row>
    <row r="197" spans="7:27" x14ac:dyDescent="0.25">
      <c r="G197" s="30"/>
      <c r="AA197" s="2"/>
    </row>
    <row r="198" spans="7:27" x14ac:dyDescent="0.25">
      <c r="G198" s="30"/>
      <c r="AA198" s="2"/>
    </row>
    <row r="199" spans="7:27" x14ac:dyDescent="0.25">
      <c r="G199" s="30"/>
      <c r="AA199" s="2"/>
    </row>
    <row r="200" spans="7:27" x14ac:dyDescent="0.25">
      <c r="G200" s="30"/>
      <c r="AA200" s="2"/>
    </row>
    <row r="201" spans="7:27" x14ac:dyDescent="0.25">
      <c r="G201" s="30"/>
      <c r="AA201" s="2"/>
    </row>
    <row r="202" spans="7:27" x14ac:dyDescent="0.25">
      <c r="G202" s="30"/>
      <c r="AA202" s="2"/>
    </row>
    <row r="203" spans="7:27" x14ac:dyDescent="0.25">
      <c r="G203" s="30"/>
      <c r="AA203" s="2"/>
    </row>
    <row r="204" spans="7:27" x14ac:dyDescent="0.25">
      <c r="G204" s="30"/>
      <c r="AA204" s="2"/>
    </row>
    <row r="205" spans="7:27" x14ac:dyDescent="0.25">
      <c r="G205" s="30"/>
      <c r="AA205" s="2"/>
    </row>
    <row r="206" spans="7:27" x14ac:dyDescent="0.25">
      <c r="G206" s="30"/>
      <c r="AA206" s="2"/>
    </row>
    <row r="207" spans="7:27" x14ac:dyDescent="0.25">
      <c r="G207" s="30"/>
      <c r="AA207" s="2"/>
    </row>
    <row r="208" spans="7:27" x14ac:dyDescent="0.25">
      <c r="G208" s="30"/>
      <c r="AA208" s="2"/>
    </row>
    <row r="209" spans="7:27" x14ac:dyDescent="0.25">
      <c r="G209" s="30"/>
      <c r="AA209" s="2"/>
    </row>
    <row r="210" spans="7:27" x14ac:dyDescent="0.25">
      <c r="G210" s="30"/>
      <c r="AA210" s="2"/>
    </row>
    <row r="211" spans="7:27" x14ac:dyDescent="0.25">
      <c r="G211" s="30"/>
      <c r="AA211" s="2"/>
    </row>
    <row r="212" spans="7:27" x14ac:dyDescent="0.25">
      <c r="G212" s="30"/>
      <c r="AA212" s="2"/>
    </row>
    <row r="213" spans="7:27" x14ac:dyDescent="0.25">
      <c r="G213" s="30"/>
      <c r="AA213" s="2"/>
    </row>
    <row r="214" spans="7:27" x14ac:dyDescent="0.25">
      <c r="G214" s="30"/>
      <c r="AA214" s="2"/>
    </row>
    <row r="215" spans="7:27" x14ac:dyDescent="0.25">
      <c r="G215" s="30"/>
      <c r="AA215" s="2"/>
    </row>
    <row r="216" spans="7:27" x14ac:dyDescent="0.25">
      <c r="G216" s="30"/>
      <c r="AA216" s="2"/>
    </row>
    <row r="217" spans="7:27" x14ac:dyDescent="0.25">
      <c r="G217" s="30"/>
      <c r="AA217" s="2"/>
    </row>
    <row r="218" spans="7:27" x14ac:dyDescent="0.25">
      <c r="G218" s="30"/>
      <c r="AA218" s="2"/>
    </row>
    <row r="219" spans="7:27" x14ac:dyDescent="0.25">
      <c r="G219" s="30"/>
      <c r="AA219" s="2"/>
    </row>
    <row r="220" spans="7:27" x14ac:dyDescent="0.25">
      <c r="G220" s="30"/>
      <c r="AA220" s="2"/>
    </row>
    <row r="221" spans="7:27" x14ac:dyDescent="0.25">
      <c r="G221" s="30"/>
      <c r="AA221" s="2"/>
    </row>
    <row r="222" spans="7:27" x14ac:dyDescent="0.25">
      <c r="G222" s="30"/>
      <c r="AA222" s="2"/>
    </row>
    <row r="223" spans="7:27" x14ac:dyDescent="0.25">
      <c r="G223" s="30"/>
      <c r="AA223" s="2"/>
    </row>
    <row r="224" spans="7:27" x14ac:dyDescent="0.25">
      <c r="G224" s="30"/>
      <c r="AA224" s="2"/>
    </row>
    <row r="225" spans="7:27" x14ac:dyDescent="0.25">
      <c r="G225" s="30"/>
      <c r="AA225" s="2"/>
    </row>
    <row r="226" spans="7:27" x14ac:dyDescent="0.25">
      <c r="G226" s="30"/>
      <c r="AA226" s="2"/>
    </row>
    <row r="227" spans="7:27" ht="15" customHeight="1" x14ac:dyDescent="0.25">
      <c r="G227" s="30"/>
      <c r="AA227" s="2"/>
    </row>
    <row r="228" spans="7:27" ht="15" customHeight="1" x14ac:dyDescent="0.25">
      <c r="G228" s="30"/>
      <c r="AA228" s="2"/>
    </row>
    <row r="229" spans="7:27" ht="15" customHeight="1" x14ac:dyDescent="0.25">
      <c r="G229" s="30"/>
      <c r="AA229" s="2"/>
    </row>
    <row r="230" spans="7:27" ht="15" customHeight="1" x14ac:dyDescent="0.25">
      <c r="G230" s="30"/>
      <c r="AA230" s="2"/>
    </row>
    <row r="231" spans="7:27" ht="15" customHeight="1" x14ac:dyDescent="0.25">
      <c r="G231" s="30"/>
      <c r="AA231" s="2"/>
    </row>
    <row r="232" spans="7:27" ht="15" customHeight="1" x14ac:dyDescent="0.25">
      <c r="G232" s="30"/>
      <c r="AA232" s="2"/>
    </row>
    <row r="233" spans="7:27" x14ac:dyDescent="0.25">
      <c r="G233" s="30"/>
      <c r="AA233" s="2"/>
    </row>
    <row r="234" spans="7:27" ht="15" customHeight="1" x14ac:dyDescent="0.25">
      <c r="G234" s="30"/>
      <c r="AA234" s="2"/>
    </row>
    <row r="235" spans="7:27" x14ac:dyDescent="0.25">
      <c r="G235" s="30"/>
      <c r="AA235" s="2"/>
    </row>
    <row r="236" spans="7:27" x14ac:dyDescent="0.25">
      <c r="G236" s="30"/>
      <c r="AA236" s="2"/>
    </row>
    <row r="237" spans="7:27" x14ac:dyDescent="0.25">
      <c r="G237" s="30"/>
      <c r="AA237" s="2"/>
    </row>
    <row r="238" spans="7:27" x14ac:dyDescent="0.25">
      <c r="G238" s="30"/>
      <c r="AA238" s="2"/>
    </row>
    <row r="239" spans="7:27" x14ac:dyDescent="0.25">
      <c r="G239" s="30"/>
      <c r="AA239" s="2"/>
    </row>
    <row r="240" spans="7:27" x14ac:dyDescent="0.25">
      <c r="G240" s="30"/>
      <c r="AA240" s="2"/>
    </row>
    <row r="241" spans="7:27" x14ac:dyDescent="0.25">
      <c r="G241" s="30"/>
      <c r="AA241" s="2"/>
    </row>
    <row r="242" spans="7:27" x14ac:dyDescent="0.25">
      <c r="G242" s="30"/>
      <c r="AA242" s="2"/>
    </row>
    <row r="243" spans="7:27" x14ac:dyDescent="0.25">
      <c r="G243" s="30"/>
      <c r="AA243" s="2"/>
    </row>
    <row r="244" spans="7:27" x14ac:dyDescent="0.25">
      <c r="G244" s="30"/>
      <c r="AA244" s="2"/>
    </row>
    <row r="245" spans="7:27" x14ac:dyDescent="0.25">
      <c r="G245" s="30"/>
      <c r="AA245" s="2"/>
    </row>
    <row r="246" spans="7:27" x14ac:dyDescent="0.25">
      <c r="G246" s="30"/>
      <c r="AA246" s="2"/>
    </row>
    <row r="247" spans="7:27" x14ac:dyDescent="0.25">
      <c r="G247" s="30"/>
      <c r="AA247" s="2"/>
    </row>
    <row r="248" spans="7:27" x14ac:dyDescent="0.25">
      <c r="G248" s="30"/>
      <c r="AA248" s="2"/>
    </row>
    <row r="249" spans="7:27" x14ac:dyDescent="0.25">
      <c r="G249" s="30"/>
      <c r="AA249" s="2"/>
    </row>
    <row r="250" spans="7:27" x14ac:dyDescent="0.25">
      <c r="G250" s="30"/>
      <c r="AA250" s="2"/>
    </row>
    <row r="251" spans="7:27" x14ac:dyDescent="0.25">
      <c r="G251" s="30"/>
      <c r="AA251" s="2"/>
    </row>
    <row r="252" spans="7:27" x14ac:dyDescent="0.25">
      <c r="G252" s="30"/>
      <c r="AA252" s="2"/>
    </row>
    <row r="253" spans="7:27" x14ac:dyDescent="0.25">
      <c r="G253" s="30"/>
      <c r="AA253" s="2"/>
    </row>
    <row r="254" spans="7:27" x14ac:dyDescent="0.25">
      <c r="G254" s="30"/>
      <c r="AA254" s="2"/>
    </row>
    <row r="255" spans="7:27" x14ac:dyDescent="0.25">
      <c r="G255" s="30"/>
      <c r="AA255" s="2"/>
    </row>
    <row r="256" spans="7:27" x14ac:dyDescent="0.25">
      <c r="G256" s="30"/>
      <c r="AA256" s="2"/>
    </row>
    <row r="257" spans="7:27" x14ac:dyDescent="0.25">
      <c r="G257" s="30"/>
      <c r="AA257" s="2"/>
    </row>
    <row r="258" spans="7:27" x14ac:dyDescent="0.25">
      <c r="G258" s="30"/>
      <c r="AA258" s="2"/>
    </row>
    <row r="259" spans="7:27" x14ac:dyDescent="0.25">
      <c r="G259" s="30"/>
      <c r="AA259" s="2"/>
    </row>
    <row r="260" spans="7:27" x14ac:dyDescent="0.25">
      <c r="G260" s="30"/>
      <c r="AA260" s="2"/>
    </row>
    <row r="261" spans="7:27" x14ac:dyDescent="0.25">
      <c r="G261" s="30"/>
      <c r="AA261" s="2"/>
    </row>
    <row r="262" spans="7:27" x14ac:dyDescent="0.25">
      <c r="G262" s="30"/>
      <c r="AA262" s="2"/>
    </row>
    <row r="263" spans="7:27" x14ac:dyDescent="0.25">
      <c r="G263" s="30"/>
      <c r="AA263" s="2"/>
    </row>
    <row r="264" spans="7:27" x14ac:dyDescent="0.25">
      <c r="G264" s="30"/>
      <c r="AA264" s="2"/>
    </row>
    <row r="265" spans="7:27" x14ac:dyDescent="0.25">
      <c r="G265" s="30"/>
      <c r="AA265" s="2"/>
    </row>
    <row r="266" spans="7:27" x14ac:dyDescent="0.25">
      <c r="G266" s="30"/>
      <c r="AA266" s="2"/>
    </row>
    <row r="267" spans="7:27" x14ac:dyDescent="0.25">
      <c r="G267" s="30"/>
      <c r="AA267" s="2"/>
    </row>
    <row r="268" spans="7:27" x14ac:dyDescent="0.25">
      <c r="G268" s="30"/>
      <c r="AA268" s="2"/>
    </row>
    <row r="269" spans="7:27" x14ac:dyDescent="0.25">
      <c r="G269" s="30"/>
      <c r="AA269" s="2"/>
    </row>
    <row r="270" spans="7:27" x14ac:dyDescent="0.25">
      <c r="G270" s="30"/>
      <c r="AA270" s="2"/>
    </row>
    <row r="271" spans="7:27" x14ac:dyDescent="0.25">
      <c r="G271" s="30"/>
      <c r="AA271" s="2"/>
    </row>
    <row r="272" spans="7:27" x14ac:dyDescent="0.25">
      <c r="G272" s="30"/>
      <c r="AA272" s="2"/>
    </row>
    <row r="273" spans="7:27" x14ac:dyDescent="0.25">
      <c r="G273" s="30"/>
      <c r="AA273" s="2"/>
    </row>
  </sheetData>
  <mergeCells count="12">
    <mergeCell ref="B11:R49"/>
    <mergeCell ref="A54:A92"/>
    <mergeCell ref="B54:R92"/>
    <mergeCell ref="B97:R135"/>
    <mergeCell ref="A99:A131"/>
    <mergeCell ref="E1:O3"/>
    <mergeCell ref="E4:E5"/>
    <mergeCell ref="F4:O5"/>
    <mergeCell ref="E6:E7"/>
    <mergeCell ref="F6:O7"/>
    <mergeCell ref="E8:E9"/>
    <mergeCell ref="F8:O9"/>
  </mergeCells>
  <pageMargins left="0.19685039370078741" right="0.19685039370078741" top="0.19685039370078741" bottom="0.19685039370078741" header="0" footer="0.35433070866141736"/>
  <pageSetup paperSize="9" scale="39" fitToHeight="3" orientation="portrait" horizontalDpi="1200" verticalDpi="1200" r:id="rId1"/>
  <headerFooter alignWithMargins="0">
    <oddFooter xml:space="preserve">&amp;C&amp;18Tooshop | M. Santos | &amp;D&amp;R&amp;18Página &amp;P de &amp;N        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D273"/>
  <sheetViews>
    <sheetView view="pageBreakPreview" zoomScale="37" zoomScaleNormal="70" zoomScaleSheetLayoutView="37" workbookViewId="0">
      <selection activeCell="T57" sqref="T57"/>
    </sheetView>
  </sheetViews>
  <sheetFormatPr defaultRowHeight="15" x14ac:dyDescent="0.25"/>
  <cols>
    <col min="1" max="1" width="4.7109375" style="2" customWidth="1"/>
    <col min="2" max="2" width="9.140625" style="2"/>
    <col min="3" max="4" width="15.7109375" style="2" customWidth="1"/>
    <col min="5" max="5" width="30.7109375" style="2" customWidth="1"/>
    <col min="6" max="6" width="18.7109375" style="2" customWidth="1"/>
    <col min="7" max="13" width="9.140625" style="2"/>
    <col min="14" max="14" width="25.7109375" style="2" customWidth="1"/>
    <col min="15" max="15" width="30.7109375" style="2" customWidth="1"/>
    <col min="16" max="17" width="15.7109375" style="2" customWidth="1"/>
    <col min="18" max="18" width="9.140625" style="2" customWidth="1"/>
    <col min="19" max="19" width="4.5703125" style="2" customWidth="1"/>
    <col min="20" max="20" width="50.140625" style="2" customWidth="1"/>
    <col min="21" max="21" width="6.85546875" style="2" customWidth="1"/>
    <col min="22" max="22" width="6.5703125" style="2" customWidth="1"/>
    <col min="23" max="23" width="6.7109375" style="2" customWidth="1"/>
    <col min="24" max="24" width="7.28515625" style="2" customWidth="1"/>
    <col min="25" max="25" width="9.140625" style="2"/>
    <col min="26" max="26" width="39" style="2" bestFit="1" customWidth="1"/>
    <col min="27" max="27" width="13.5703125" style="30" bestFit="1" customWidth="1"/>
    <col min="28" max="28" width="10.42578125" style="2" bestFit="1" customWidth="1"/>
    <col min="29" max="29" width="19.42578125" style="2" bestFit="1" customWidth="1"/>
    <col min="30" max="30" width="5.42578125" style="2" bestFit="1" customWidth="1"/>
    <col min="31" max="16384" width="9.140625" style="2"/>
  </cols>
  <sheetData>
    <row r="1" spans="1:30" ht="15" customHeight="1" x14ac:dyDescent="0.25">
      <c r="A1" s="13"/>
      <c r="B1" s="3"/>
      <c r="C1" s="3"/>
      <c r="D1" s="3"/>
      <c r="E1" s="116" t="s">
        <v>3</v>
      </c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3"/>
      <c r="Q1" s="3"/>
      <c r="R1" s="3"/>
      <c r="S1" s="4"/>
      <c r="T1" s="10"/>
      <c r="Z1" s="49" t="s">
        <v>4</v>
      </c>
      <c r="AA1" s="88"/>
      <c r="AB1" s="102"/>
      <c r="AC1" s="103"/>
      <c r="AD1" s="104"/>
    </row>
    <row r="2" spans="1:30" ht="15" customHeight="1" x14ac:dyDescent="0.25">
      <c r="A2" s="14"/>
      <c r="B2" s="56"/>
      <c r="C2" s="56"/>
      <c r="D2" s="56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58"/>
      <c r="Q2" s="56"/>
      <c r="R2" s="56"/>
      <c r="S2" s="6"/>
      <c r="Z2" s="50" t="s">
        <v>477</v>
      </c>
      <c r="AA2" s="89">
        <v>2</v>
      </c>
      <c r="AB2" s="95"/>
      <c r="AC2" s="95"/>
      <c r="AD2" s="105"/>
    </row>
    <row r="3" spans="1:30" ht="15" customHeight="1" x14ac:dyDescent="0.25">
      <c r="A3" s="14"/>
      <c r="B3" s="56"/>
      <c r="C3" s="56"/>
      <c r="D3" s="56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58"/>
      <c r="Q3" s="56"/>
      <c r="R3" s="56"/>
      <c r="S3" s="6"/>
      <c r="Z3" s="50" t="s">
        <v>476</v>
      </c>
      <c r="AA3" s="89"/>
      <c r="AB3" s="95"/>
      <c r="AC3" s="95"/>
      <c r="AD3" s="105"/>
    </row>
    <row r="4" spans="1:30" ht="15" customHeight="1" x14ac:dyDescent="0.25">
      <c r="A4" s="14"/>
      <c r="B4" s="56"/>
      <c r="C4" s="56"/>
      <c r="D4" s="56"/>
      <c r="E4" s="129" t="str">
        <f>"Projeto: "</f>
        <v xml:space="preserve">Projeto: </v>
      </c>
      <c r="F4" s="131" t="str">
        <f>T7</f>
        <v>VW216 - TCROSS</v>
      </c>
      <c r="G4" s="131"/>
      <c r="H4" s="131"/>
      <c r="I4" s="131"/>
      <c r="J4" s="131"/>
      <c r="K4" s="131"/>
      <c r="L4" s="131"/>
      <c r="M4" s="131"/>
      <c r="N4" s="131"/>
      <c r="O4" s="132"/>
      <c r="P4" s="58"/>
      <c r="Q4" s="56"/>
      <c r="R4" s="56"/>
      <c r="S4" s="6"/>
      <c r="Z4" s="50" t="s">
        <v>218</v>
      </c>
      <c r="AA4" s="89"/>
      <c r="AB4" s="95"/>
      <c r="AC4" s="95"/>
      <c r="AD4" s="105"/>
    </row>
    <row r="5" spans="1:30" ht="15" customHeight="1" x14ac:dyDescent="0.25">
      <c r="A5" s="80"/>
      <c r="B5" s="54"/>
      <c r="C5" s="55"/>
      <c r="D5" s="55"/>
      <c r="E5" s="130"/>
      <c r="F5" s="133"/>
      <c r="G5" s="133"/>
      <c r="H5" s="133"/>
      <c r="I5" s="133"/>
      <c r="J5" s="133"/>
      <c r="K5" s="133"/>
      <c r="L5" s="133"/>
      <c r="M5" s="133"/>
      <c r="N5" s="133"/>
      <c r="O5" s="134"/>
      <c r="P5" s="58"/>
      <c r="Q5" s="55"/>
      <c r="R5" s="55"/>
      <c r="S5" s="6"/>
      <c r="Z5" s="50" t="s">
        <v>475</v>
      </c>
      <c r="AA5" s="89"/>
      <c r="AB5" s="95"/>
      <c r="AC5" s="95"/>
      <c r="AD5" s="105"/>
    </row>
    <row r="6" spans="1:30" ht="15" customHeight="1" x14ac:dyDescent="0.25">
      <c r="A6" s="80"/>
      <c r="B6" s="54"/>
      <c r="C6" s="55"/>
      <c r="D6" s="55"/>
      <c r="E6" s="135" t="str">
        <f>"Peça: "</f>
        <v xml:space="preserve">Peça: </v>
      </c>
      <c r="F6" s="136" t="str">
        <f>T8</f>
        <v>2GM.821.105</v>
      </c>
      <c r="G6" s="136"/>
      <c r="H6" s="136"/>
      <c r="I6" s="136"/>
      <c r="J6" s="136"/>
      <c r="K6" s="136"/>
      <c r="L6" s="136"/>
      <c r="M6" s="136"/>
      <c r="N6" s="136"/>
      <c r="O6" s="137"/>
      <c r="P6" s="58"/>
      <c r="Q6" s="55"/>
      <c r="R6" s="55"/>
      <c r="S6" s="6"/>
      <c r="T6" s="17" t="s">
        <v>422</v>
      </c>
      <c r="Z6" s="50" t="s">
        <v>249</v>
      </c>
      <c r="AA6" s="89"/>
      <c r="AB6" s="95"/>
      <c r="AC6" s="95"/>
      <c r="AD6" s="105"/>
    </row>
    <row r="7" spans="1:30" ht="15" customHeight="1" x14ac:dyDescent="0.25">
      <c r="A7" s="80"/>
      <c r="B7" s="54"/>
      <c r="C7" s="55"/>
      <c r="D7" s="55"/>
      <c r="E7" s="130"/>
      <c r="F7" s="133"/>
      <c r="G7" s="133"/>
      <c r="H7" s="133"/>
      <c r="I7" s="133"/>
      <c r="J7" s="133"/>
      <c r="K7" s="133"/>
      <c r="L7" s="133"/>
      <c r="M7" s="133"/>
      <c r="N7" s="133"/>
      <c r="O7" s="134"/>
      <c r="P7" s="55"/>
      <c r="Q7" s="55"/>
      <c r="R7" s="55"/>
      <c r="S7" s="6"/>
      <c r="T7" s="53" t="s">
        <v>135</v>
      </c>
      <c r="Z7" s="50" t="s">
        <v>2</v>
      </c>
      <c r="AA7" s="89">
        <f>SUM(AA2:AA6)</f>
        <v>2</v>
      </c>
      <c r="AB7" s="95">
        <f>SUM(AB2:AB6)</f>
        <v>0</v>
      </c>
      <c r="AC7" s="95"/>
      <c r="AD7" s="105"/>
    </row>
    <row r="8" spans="1:30" ht="15" customHeight="1" x14ac:dyDescent="0.25">
      <c r="A8" s="15"/>
      <c r="E8" s="135" t="str">
        <f>"Ano: "</f>
        <v xml:space="preserve">Ano: </v>
      </c>
      <c r="F8" s="136">
        <f>T9</f>
        <v>2017</v>
      </c>
      <c r="G8" s="136"/>
      <c r="H8" s="136"/>
      <c r="I8" s="136"/>
      <c r="J8" s="136"/>
      <c r="K8" s="136"/>
      <c r="L8" s="136"/>
      <c r="M8" s="136"/>
      <c r="N8" s="136"/>
      <c r="O8" s="137"/>
      <c r="S8" s="6"/>
      <c r="T8" s="2" t="s">
        <v>138</v>
      </c>
      <c r="Z8" s="48" t="s">
        <v>5</v>
      </c>
      <c r="AA8" s="90"/>
      <c r="AB8" s="106"/>
      <c r="AC8" s="106"/>
      <c r="AD8" s="107"/>
    </row>
    <row r="9" spans="1:30" ht="15" customHeight="1" x14ac:dyDescent="0.25">
      <c r="A9" s="81"/>
      <c r="B9" s="57"/>
      <c r="C9" s="57"/>
      <c r="D9" s="57"/>
      <c r="E9" s="130"/>
      <c r="F9" s="133"/>
      <c r="G9" s="133"/>
      <c r="H9" s="133"/>
      <c r="I9" s="133"/>
      <c r="J9" s="133"/>
      <c r="K9" s="133"/>
      <c r="L9" s="133"/>
      <c r="M9" s="133"/>
      <c r="N9" s="133"/>
      <c r="O9" s="134"/>
      <c r="P9" s="57"/>
      <c r="Q9" s="57"/>
      <c r="R9" s="57"/>
      <c r="S9" s="6"/>
      <c r="T9" s="2">
        <v>2017</v>
      </c>
      <c r="Z9" s="44" t="s">
        <v>8</v>
      </c>
      <c r="AA9" s="91"/>
      <c r="AB9" s="108"/>
      <c r="AC9" s="108"/>
      <c r="AD9" s="109"/>
    </row>
    <row r="10" spans="1:30" x14ac:dyDescent="0.25">
      <c r="A10" s="81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6"/>
      <c r="Z10" s="44" t="s">
        <v>7</v>
      </c>
      <c r="AA10" s="91"/>
      <c r="AB10" s="108"/>
      <c r="AC10" s="108"/>
      <c r="AD10" s="109"/>
    </row>
    <row r="11" spans="1:30" ht="15" customHeight="1" x14ac:dyDescent="0.25">
      <c r="A11" s="81"/>
      <c r="B11" s="118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6"/>
      <c r="Z11" s="44" t="s">
        <v>41</v>
      </c>
      <c r="AA11" s="91"/>
      <c r="AB11" s="108"/>
      <c r="AC11" s="108"/>
      <c r="AD11" s="109"/>
    </row>
    <row r="12" spans="1:30" ht="15" customHeight="1" x14ac:dyDescent="0.25">
      <c r="A12" s="81"/>
      <c r="B12" s="118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6"/>
      <c r="Z12" s="44" t="s">
        <v>40</v>
      </c>
      <c r="AA12" s="91"/>
      <c r="AB12" s="108"/>
      <c r="AC12" s="108"/>
      <c r="AD12" s="109"/>
    </row>
    <row r="13" spans="1:30" ht="15" customHeight="1" x14ac:dyDescent="0.25">
      <c r="A13" s="81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6"/>
      <c r="T13" s="12"/>
      <c r="Z13" s="44" t="s">
        <v>1</v>
      </c>
      <c r="AA13" s="91"/>
      <c r="AB13" s="108"/>
      <c r="AC13" s="108"/>
      <c r="AD13" s="109"/>
    </row>
    <row r="14" spans="1:30" ht="15" customHeight="1" x14ac:dyDescent="0.25">
      <c r="A14" s="81"/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6"/>
      <c r="T14" s="11"/>
      <c r="Z14" s="96" t="s">
        <v>356</v>
      </c>
      <c r="AA14" s="94"/>
      <c r="AB14" s="110"/>
      <c r="AC14" s="110"/>
      <c r="AD14" s="111"/>
    </row>
    <row r="15" spans="1:30" ht="15" customHeight="1" x14ac:dyDescent="0.25">
      <c r="A15" s="81"/>
      <c r="B15" s="118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6"/>
      <c r="Z15" s="45" t="s">
        <v>353</v>
      </c>
      <c r="AA15" s="98"/>
      <c r="AB15" s="99"/>
      <c r="AC15" s="100"/>
      <c r="AD15" s="101"/>
    </row>
    <row r="16" spans="1:30" ht="15" customHeight="1" x14ac:dyDescent="0.25">
      <c r="A16" s="81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6"/>
      <c r="Z16" s="45" t="s">
        <v>185</v>
      </c>
      <c r="AA16" s="98"/>
      <c r="AB16" s="99"/>
      <c r="AC16" s="100"/>
      <c r="AD16" s="101"/>
    </row>
    <row r="17" spans="1:30" x14ac:dyDescent="0.25">
      <c r="A17" s="81"/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6"/>
      <c r="Z17" s="45" t="s">
        <v>210</v>
      </c>
      <c r="AA17" s="98"/>
      <c r="AB17" s="99"/>
      <c r="AC17" s="100"/>
      <c r="AD17" s="101">
        <v>1</v>
      </c>
    </row>
    <row r="18" spans="1:30" x14ac:dyDescent="0.25">
      <c r="A18" s="81"/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6"/>
      <c r="Z18" s="45" t="s">
        <v>354</v>
      </c>
      <c r="AA18" s="98"/>
      <c r="AB18" s="99"/>
      <c r="AC18" s="100"/>
      <c r="AD18" s="101"/>
    </row>
    <row r="19" spans="1:30" x14ac:dyDescent="0.25">
      <c r="A19" s="81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6"/>
      <c r="Z19" s="45" t="s">
        <v>46</v>
      </c>
      <c r="AA19" s="98"/>
      <c r="AB19" s="99"/>
      <c r="AC19" s="100"/>
      <c r="AD19" s="101">
        <v>1</v>
      </c>
    </row>
    <row r="20" spans="1:30" x14ac:dyDescent="0.25">
      <c r="A20" s="81"/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6"/>
      <c r="Z20" s="45" t="s">
        <v>204</v>
      </c>
      <c r="AA20" s="98"/>
      <c r="AB20" s="99"/>
      <c r="AC20" s="100"/>
      <c r="AD20" s="101"/>
    </row>
    <row r="21" spans="1:30" x14ac:dyDescent="0.25">
      <c r="A21" s="81"/>
      <c r="B21" s="118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6"/>
      <c r="Z21" s="45" t="s">
        <v>143</v>
      </c>
      <c r="AA21" s="98"/>
      <c r="AB21" s="99"/>
      <c r="AC21" s="100"/>
      <c r="AD21" s="101"/>
    </row>
    <row r="22" spans="1:30" x14ac:dyDescent="0.25">
      <c r="A22" s="81"/>
      <c r="B22" s="118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6"/>
      <c r="Z22" s="45" t="s">
        <v>147</v>
      </c>
      <c r="AA22" s="98"/>
      <c r="AB22" s="99"/>
      <c r="AC22" s="100"/>
      <c r="AD22" s="101"/>
    </row>
    <row r="23" spans="1:30" x14ac:dyDescent="0.25">
      <c r="A23" s="81"/>
      <c r="B23" s="118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6"/>
      <c r="Z23" s="45" t="s">
        <v>57</v>
      </c>
      <c r="AA23" s="98"/>
      <c r="AB23" s="99"/>
      <c r="AC23" s="100"/>
      <c r="AD23" s="101"/>
    </row>
    <row r="24" spans="1:30" x14ac:dyDescent="0.25">
      <c r="A24" s="81"/>
      <c r="B24" s="11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6"/>
      <c r="Z24" s="46" t="s">
        <v>52</v>
      </c>
      <c r="AA24" s="98"/>
      <c r="AB24" s="99"/>
      <c r="AC24" s="100"/>
      <c r="AD24" s="101"/>
    </row>
    <row r="25" spans="1:30" x14ac:dyDescent="0.25">
      <c r="A25" s="81"/>
      <c r="B25" s="118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6"/>
      <c r="Z25" s="46"/>
      <c r="AA25" s="98"/>
      <c r="AB25" s="99"/>
      <c r="AC25" s="100"/>
      <c r="AD25" s="101"/>
    </row>
    <row r="26" spans="1:30" x14ac:dyDescent="0.25">
      <c r="A26" s="81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6"/>
      <c r="Z26" s="46"/>
      <c r="AA26" s="92"/>
      <c r="AB26" s="100"/>
      <c r="AC26" s="100"/>
      <c r="AD26" s="101"/>
    </row>
    <row r="27" spans="1:30" x14ac:dyDescent="0.25">
      <c r="A27" s="81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6"/>
      <c r="Z27" s="46"/>
      <c r="AA27" s="92"/>
      <c r="AB27" s="100"/>
      <c r="AC27" s="100"/>
      <c r="AD27" s="101"/>
    </row>
    <row r="28" spans="1:30" x14ac:dyDescent="0.25">
      <c r="A28" s="81"/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6"/>
      <c r="Z28" s="97"/>
      <c r="AA28" s="92" t="s">
        <v>8</v>
      </c>
      <c r="AB28" s="100" t="s">
        <v>7</v>
      </c>
      <c r="AC28" s="100" t="s">
        <v>41</v>
      </c>
      <c r="AD28" s="101" t="s">
        <v>479</v>
      </c>
    </row>
    <row r="29" spans="1:30" x14ac:dyDescent="0.25">
      <c r="A29" s="81"/>
      <c r="B29" s="118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6"/>
      <c r="Z29" s="46"/>
      <c r="AA29" s="92"/>
      <c r="AB29" s="100"/>
      <c r="AC29" s="100"/>
      <c r="AD29" s="101"/>
    </row>
    <row r="30" spans="1:30" x14ac:dyDescent="0.25">
      <c r="A30" s="81"/>
      <c r="B30" s="118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6"/>
      <c r="Z30" s="46"/>
      <c r="AA30" s="92"/>
      <c r="AB30" s="100"/>
      <c r="AC30" s="100"/>
      <c r="AD30" s="101"/>
    </row>
    <row r="31" spans="1:30" x14ac:dyDescent="0.25">
      <c r="A31" s="81"/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6"/>
      <c r="Z31" s="46"/>
      <c r="AA31" s="92"/>
      <c r="AB31" s="100"/>
      <c r="AC31" s="100"/>
      <c r="AD31" s="101"/>
    </row>
    <row r="32" spans="1:30" x14ac:dyDescent="0.25">
      <c r="A32" s="81"/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6"/>
      <c r="Z32" s="46"/>
      <c r="AA32" s="92"/>
      <c r="AB32" s="100"/>
      <c r="AC32" s="100"/>
      <c r="AD32" s="101"/>
    </row>
    <row r="33" spans="1:30" x14ac:dyDescent="0.25">
      <c r="A33" s="81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6"/>
      <c r="Z33" s="46"/>
      <c r="AA33" s="92"/>
      <c r="AB33" s="100"/>
      <c r="AC33" s="100"/>
      <c r="AD33" s="101"/>
    </row>
    <row r="34" spans="1:30" x14ac:dyDescent="0.25">
      <c r="A34" s="81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6"/>
      <c r="Z34" s="97"/>
      <c r="AA34" s="92"/>
      <c r="AB34" s="100"/>
      <c r="AC34" s="100"/>
      <c r="AD34" s="101"/>
    </row>
    <row r="35" spans="1:30" x14ac:dyDescent="0.25">
      <c r="A35" s="81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6"/>
      <c r="Z35" s="46"/>
      <c r="AA35" s="92"/>
      <c r="AB35" s="100"/>
      <c r="AC35" s="100"/>
      <c r="AD35" s="101"/>
    </row>
    <row r="36" spans="1:30" x14ac:dyDescent="0.25">
      <c r="A36" s="81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6"/>
      <c r="Z36" s="46"/>
      <c r="AA36" s="92"/>
      <c r="AB36" s="100"/>
      <c r="AC36" s="100"/>
      <c r="AD36" s="101"/>
    </row>
    <row r="37" spans="1:30" x14ac:dyDescent="0.25">
      <c r="A37" s="81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6"/>
      <c r="Z37" s="46"/>
      <c r="AA37" s="92"/>
      <c r="AB37" s="100"/>
      <c r="AC37" s="100"/>
      <c r="AD37" s="101"/>
    </row>
    <row r="38" spans="1:30" x14ac:dyDescent="0.25">
      <c r="A38" s="81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6"/>
      <c r="Z38" s="46"/>
      <c r="AA38" s="92"/>
      <c r="AB38" s="100"/>
      <c r="AC38" s="100"/>
      <c r="AD38" s="101"/>
    </row>
    <row r="39" spans="1:30" ht="15.75" thickBot="1" x14ac:dyDescent="0.3">
      <c r="A39" s="81"/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6"/>
      <c r="Z39" s="47"/>
      <c r="AA39" s="93"/>
      <c r="AB39" s="112"/>
      <c r="AC39" s="112"/>
      <c r="AD39" s="113"/>
    </row>
    <row r="40" spans="1:30" x14ac:dyDescent="0.25">
      <c r="A40" s="81"/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6"/>
    </row>
    <row r="41" spans="1:30" x14ac:dyDescent="0.25">
      <c r="A41" s="81"/>
      <c r="B41" s="118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6"/>
    </row>
    <row r="42" spans="1:30" x14ac:dyDescent="0.25">
      <c r="A42" s="5"/>
      <c r="B42" s="118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6"/>
    </row>
    <row r="43" spans="1:30" x14ac:dyDescent="0.25">
      <c r="A43" s="5"/>
      <c r="B43" s="118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6"/>
    </row>
    <row r="44" spans="1:30" x14ac:dyDescent="0.25">
      <c r="A44" s="5"/>
      <c r="B44" s="118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6"/>
    </row>
    <row r="45" spans="1:30" x14ac:dyDescent="0.25">
      <c r="A45" s="5"/>
      <c r="B45" s="118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8"/>
      <c r="Q45" s="118"/>
      <c r="R45" s="118"/>
      <c r="S45" s="6"/>
    </row>
    <row r="46" spans="1:30" x14ac:dyDescent="0.25">
      <c r="A46" s="15"/>
      <c r="B46" s="118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6"/>
    </row>
    <row r="47" spans="1:30" ht="15" customHeight="1" x14ac:dyDescent="0.25">
      <c r="A47" s="14"/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6"/>
    </row>
    <row r="48" spans="1:30" ht="15" customHeight="1" x14ac:dyDescent="0.25">
      <c r="A48" s="14"/>
      <c r="B48" s="118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6"/>
    </row>
    <row r="49" spans="1:19" ht="15" customHeight="1" x14ac:dyDescent="0.25">
      <c r="A49" s="14"/>
      <c r="B49" s="118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6"/>
    </row>
    <row r="50" spans="1:19" ht="15" customHeight="1" x14ac:dyDescent="0.25">
      <c r="A50" s="80"/>
      <c r="B50" s="54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6"/>
    </row>
    <row r="51" spans="1:19" ht="15" customHeight="1" x14ac:dyDescent="0.25">
      <c r="A51" s="80"/>
      <c r="B51" s="59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"/>
    </row>
    <row r="52" spans="1:19" ht="15" customHeight="1" x14ac:dyDescent="0.25">
      <c r="A52" s="80"/>
      <c r="B52" s="54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6"/>
    </row>
    <row r="53" spans="1:19" x14ac:dyDescent="0.25">
      <c r="A53" s="15"/>
      <c r="S53" s="6"/>
    </row>
    <row r="54" spans="1:19" ht="15" customHeight="1" x14ac:dyDescent="0.25">
      <c r="A54" s="127" t="s">
        <v>163</v>
      </c>
      <c r="B54" s="118"/>
      <c r="C54" s="118"/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6"/>
    </row>
    <row r="55" spans="1:19" x14ac:dyDescent="0.25">
      <c r="A55" s="127"/>
      <c r="B55" s="118"/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6"/>
    </row>
    <row r="56" spans="1:19" x14ac:dyDescent="0.25">
      <c r="A56" s="127"/>
      <c r="B56" s="118"/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6"/>
    </row>
    <row r="57" spans="1:19" x14ac:dyDescent="0.25">
      <c r="A57" s="127"/>
      <c r="B57" s="118"/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6"/>
    </row>
    <row r="58" spans="1:19" x14ac:dyDescent="0.25">
      <c r="A58" s="127"/>
      <c r="B58" s="118"/>
      <c r="C58" s="118"/>
      <c r="D58" s="118"/>
      <c r="E58" s="118"/>
      <c r="F58" s="118"/>
      <c r="G58" s="118"/>
      <c r="H58" s="118"/>
      <c r="I58" s="118"/>
      <c r="J58" s="118"/>
      <c r="K58" s="118"/>
      <c r="L58" s="118"/>
      <c r="M58" s="118"/>
      <c r="N58" s="118"/>
      <c r="O58" s="118"/>
      <c r="P58" s="118"/>
      <c r="Q58" s="118"/>
      <c r="R58" s="118"/>
      <c r="S58" s="6"/>
    </row>
    <row r="59" spans="1:19" x14ac:dyDescent="0.25">
      <c r="A59" s="127"/>
      <c r="B59" s="118"/>
      <c r="C59" s="118"/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6"/>
    </row>
    <row r="60" spans="1:19" x14ac:dyDescent="0.25">
      <c r="A60" s="127"/>
      <c r="B60" s="118"/>
      <c r="C60" s="118"/>
      <c r="D60" s="118"/>
      <c r="E60" s="118"/>
      <c r="F60" s="118"/>
      <c r="G60" s="118"/>
      <c r="H60" s="118"/>
      <c r="I60" s="118"/>
      <c r="J60" s="118"/>
      <c r="K60" s="118"/>
      <c r="L60" s="118"/>
      <c r="M60" s="118"/>
      <c r="N60" s="118"/>
      <c r="O60" s="118"/>
      <c r="P60" s="118"/>
      <c r="Q60" s="118"/>
      <c r="R60" s="118"/>
      <c r="S60" s="6"/>
    </row>
    <row r="61" spans="1:19" x14ac:dyDescent="0.25">
      <c r="A61" s="127"/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6"/>
    </row>
    <row r="62" spans="1:19" x14ac:dyDescent="0.25">
      <c r="A62" s="127"/>
      <c r="B62" s="118"/>
      <c r="C62" s="118"/>
      <c r="D62" s="118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6"/>
    </row>
    <row r="63" spans="1:19" x14ac:dyDescent="0.25">
      <c r="A63" s="127"/>
      <c r="B63" s="118"/>
      <c r="C63" s="118"/>
      <c r="D63" s="118"/>
      <c r="E63" s="118"/>
      <c r="F63" s="118"/>
      <c r="G63" s="118"/>
      <c r="H63" s="118"/>
      <c r="I63" s="118"/>
      <c r="J63" s="118"/>
      <c r="K63" s="118"/>
      <c r="L63" s="118"/>
      <c r="M63" s="118"/>
      <c r="N63" s="118"/>
      <c r="O63" s="118"/>
      <c r="P63" s="118"/>
      <c r="Q63" s="118"/>
      <c r="R63" s="118"/>
      <c r="S63" s="6"/>
    </row>
    <row r="64" spans="1:19" x14ac:dyDescent="0.25">
      <c r="A64" s="127"/>
      <c r="B64" s="118"/>
      <c r="C64" s="118"/>
      <c r="D64" s="118"/>
      <c r="E64" s="118"/>
      <c r="F64" s="118"/>
      <c r="G64" s="118"/>
      <c r="H64" s="118"/>
      <c r="I64" s="118"/>
      <c r="J64" s="118"/>
      <c r="K64" s="118"/>
      <c r="L64" s="118"/>
      <c r="M64" s="118"/>
      <c r="N64" s="118"/>
      <c r="O64" s="118"/>
      <c r="P64" s="118"/>
      <c r="Q64" s="118"/>
      <c r="R64" s="118"/>
      <c r="S64" s="6"/>
    </row>
    <row r="65" spans="1:19" x14ac:dyDescent="0.25">
      <c r="A65" s="127"/>
      <c r="B65" s="118"/>
      <c r="C65" s="118"/>
      <c r="D65" s="118"/>
      <c r="E65" s="118"/>
      <c r="F65" s="118"/>
      <c r="G65" s="118"/>
      <c r="H65" s="118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6"/>
    </row>
    <row r="66" spans="1:19" x14ac:dyDescent="0.25">
      <c r="A66" s="127"/>
      <c r="B66" s="118"/>
      <c r="C66" s="118"/>
      <c r="D66" s="118"/>
      <c r="E66" s="118"/>
      <c r="F66" s="118"/>
      <c r="G66" s="118"/>
      <c r="H66" s="118"/>
      <c r="I66" s="118"/>
      <c r="J66" s="118"/>
      <c r="K66" s="118"/>
      <c r="L66" s="118"/>
      <c r="M66" s="118"/>
      <c r="N66" s="118"/>
      <c r="O66" s="118"/>
      <c r="P66" s="118"/>
      <c r="Q66" s="118"/>
      <c r="R66" s="118"/>
      <c r="S66" s="6"/>
    </row>
    <row r="67" spans="1:19" x14ac:dyDescent="0.25">
      <c r="A67" s="127"/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6"/>
    </row>
    <row r="68" spans="1:19" x14ac:dyDescent="0.25">
      <c r="A68" s="127"/>
      <c r="B68" s="118"/>
      <c r="C68" s="118"/>
      <c r="D68" s="118"/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118"/>
      <c r="Q68" s="118"/>
      <c r="R68" s="118"/>
      <c r="S68" s="6"/>
    </row>
    <row r="69" spans="1:19" x14ac:dyDescent="0.25">
      <c r="A69" s="127"/>
      <c r="B69" s="118"/>
      <c r="C69" s="118"/>
      <c r="D69" s="118"/>
      <c r="E69" s="118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118"/>
      <c r="Q69" s="118"/>
      <c r="R69" s="118"/>
      <c r="S69" s="6"/>
    </row>
    <row r="70" spans="1:19" x14ac:dyDescent="0.25">
      <c r="A70" s="127"/>
      <c r="B70" s="118"/>
      <c r="C70" s="118"/>
      <c r="D70" s="118"/>
      <c r="E70" s="118"/>
      <c r="F70" s="118"/>
      <c r="G70" s="118"/>
      <c r="H70" s="118"/>
      <c r="I70" s="118"/>
      <c r="J70" s="118"/>
      <c r="K70" s="118"/>
      <c r="L70" s="118"/>
      <c r="M70" s="118"/>
      <c r="N70" s="118"/>
      <c r="O70" s="118"/>
      <c r="P70" s="118"/>
      <c r="Q70" s="118"/>
      <c r="R70" s="118"/>
      <c r="S70" s="6"/>
    </row>
    <row r="71" spans="1:19" x14ac:dyDescent="0.25">
      <c r="A71" s="127"/>
      <c r="B71" s="118"/>
      <c r="C71" s="118"/>
      <c r="D71" s="118"/>
      <c r="E71" s="118"/>
      <c r="F71" s="118"/>
      <c r="G71" s="118"/>
      <c r="H71" s="118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6"/>
    </row>
    <row r="72" spans="1:19" x14ac:dyDescent="0.25">
      <c r="A72" s="127"/>
      <c r="B72" s="118"/>
      <c r="C72" s="118"/>
      <c r="D72" s="118"/>
      <c r="E72" s="118"/>
      <c r="F72" s="118"/>
      <c r="G72" s="118"/>
      <c r="H72" s="118"/>
      <c r="I72" s="118"/>
      <c r="J72" s="118"/>
      <c r="K72" s="118"/>
      <c r="L72" s="118"/>
      <c r="M72" s="118"/>
      <c r="N72" s="118"/>
      <c r="O72" s="118"/>
      <c r="P72" s="118"/>
      <c r="Q72" s="118"/>
      <c r="R72" s="118"/>
      <c r="S72" s="6"/>
    </row>
    <row r="73" spans="1:19" x14ac:dyDescent="0.25">
      <c r="A73" s="127"/>
      <c r="B73" s="118"/>
      <c r="C73" s="118"/>
      <c r="D73" s="118"/>
      <c r="E73" s="118"/>
      <c r="F73" s="118"/>
      <c r="G73" s="118"/>
      <c r="H73" s="118"/>
      <c r="I73" s="118"/>
      <c r="J73" s="118"/>
      <c r="K73" s="118"/>
      <c r="L73" s="118"/>
      <c r="M73" s="118"/>
      <c r="N73" s="118"/>
      <c r="O73" s="118"/>
      <c r="P73" s="118"/>
      <c r="Q73" s="118"/>
      <c r="R73" s="118"/>
      <c r="S73" s="6"/>
    </row>
    <row r="74" spans="1:19" x14ac:dyDescent="0.25">
      <c r="A74" s="127"/>
      <c r="B74" s="118"/>
      <c r="C74" s="118"/>
      <c r="D74" s="118"/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6"/>
    </row>
    <row r="75" spans="1:19" x14ac:dyDescent="0.25">
      <c r="A75" s="127"/>
      <c r="B75" s="118"/>
      <c r="C75" s="118"/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6"/>
    </row>
    <row r="76" spans="1:19" x14ac:dyDescent="0.25">
      <c r="A76" s="127"/>
      <c r="B76" s="118"/>
      <c r="C76" s="118"/>
      <c r="D76" s="118"/>
      <c r="E76" s="118"/>
      <c r="F76" s="118"/>
      <c r="G76" s="118"/>
      <c r="H76" s="118"/>
      <c r="I76" s="118"/>
      <c r="J76" s="118"/>
      <c r="K76" s="118"/>
      <c r="L76" s="118"/>
      <c r="M76" s="118"/>
      <c r="N76" s="118"/>
      <c r="O76" s="118"/>
      <c r="P76" s="118"/>
      <c r="Q76" s="118"/>
      <c r="R76" s="118"/>
      <c r="S76" s="6"/>
    </row>
    <row r="77" spans="1:19" x14ac:dyDescent="0.25">
      <c r="A77" s="127"/>
      <c r="B77" s="118"/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6"/>
    </row>
    <row r="78" spans="1:19" x14ac:dyDescent="0.25">
      <c r="A78" s="127"/>
      <c r="B78" s="118"/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6"/>
    </row>
    <row r="79" spans="1:19" x14ac:dyDescent="0.25">
      <c r="A79" s="127"/>
      <c r="B79" s="118"/>
      <c r="C79" s="118"/>
      <c r="D79" s="118"/>
      <c r="E79" s="118"/>
      <c r="F79" s="118"/>
      <c r="G79" s="118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6"/>
    </row>
    <row r="80" spans="1:19" x14ac:dyDescent="0.25">
      <c r="A80" s="127"/>
      <c r="B80" s="118"/>
      <c r="C80" s="118"/>
      <c r="D80" s="118"/>
      <c r="E80" s="118"/>
      <c r="F80" s="118"/>
      <c r="G80" s="118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6"/>
    </row>
    <row r="81" spans="1:26" x14ac:dyDescent="0.25">
      <c r="A81" s="127"/>
      <c r="B81" s="118"/>
      <c r="C81" s="118"/>
      <c r="D81" s="118"/>
      <c r="E81" s="118"/>
      <c r="F81" s="118"/>
      <c r="G81" s="118"/>
      <c r="H81" s="118"/>
      <c r="I81" s="118"/>
      <c r="J81" s="118"/>
      <c r="K81" s="118"/>
      <c r="L81" s="118"/>
      <c r="M81" s="118"/>
      <c r="N81" s="118"/>
      <c r="O81" s="118"/>
      <c r="P81" s="118"/>
      <c r="Q81" s="118"/>
      <c r="R81" s="118"/>
      <c r="S81" s="6"/>
    </row>
    <row r="82" spans="1:26" x14ac:dyDescent="0.25">
      <c r="A82" s="127"/>
      <c r="B82" s="118"/>
      <c r="C82" s="118"/>
      <c r="D82" s="118"/>
      <c r="E82" s="118"/>
      <c r="F82" s="118"/>
      <c r="G82" s="118"/>
      <c r="H82" s="118"/>
      <c r="I82" s="118"/>
      <c r="J82" s="118"/>
      <c r="K82" s="118"/>
      <c r="L82" s="118"/>
      <c r="M82" s="118"/>
      <c r="N82" s="118"/>
      <c r="O82" s="118"/>
      <c r="P82" s="118"/>
      <c r="Q82" s="118"/>
      <c r="R82" s="118"/>
      <c r="S82" s="6"/>
    </row>
    <row r="83" spans="1:26" x14ac:dyDescent="0.25">
      <c r="A83" s="127"/>
      <c r="B83" s="118"/>
      <c r="C83" s="118"/>
      <c r="D83" s="118"/>
      <c r="E83" s="118"/>
      <c r="F83" s="118"/>
      <c r="G83" s="118"/>
      <c r="H83" s="118"/>
      <c r="I83" s="118"/>
      <c r="J83" s="118"/>
      <c r="K83" s="118"/>
      <c r="L83" s="118"/>
      <c r="M83" s="118"/>
      <c r="N83" s="118"/>
      <c r="O83" s="118"/>
      <c r="P83" s="118"/>
      <c r="Q83" s="118"/>
      <c r="R83" s="118"/>
      <c r="S83" s="6"/>
    </row>
    <row r="84" spans="1:26" x14ac:dyDescent="0.25">
      <c r="A84" s="127"/>
      <c r="B84" s="118"/>
      <c r="C84" s="118"/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118"/>
      <c r="Q84" s="118"/>
      <c r="R84" s="118"/>
      <c r="S84" s="6"/>
    </row>
    <row r="85" spans="1:26" x14ac:dyDescent="0.25">
      <c r="A85" s="127"/>
      <c r="B85" s="118"/>
      <c r="C85" s="118"/>
      <c r="D85" s="118"/>
      <c r="E85" s="118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118"/>
      <c r="Q85" s="118"/>
      <c r="R85" s="118"/>
      <c r="S85" s="6"/>
    </row>
    <row r="86" spans="1:26" x14ac:dyDescent="0.25">
      <c r="A86" s="127"/>
      <c r="B86" s="118"/>
      <c r="C86" s="118"/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8"/>
      <c r="Q86" s="118"/>
      <c r="R86" s="118"/>
      <c r="S86" s="6"/>
      <c r="Z86" s="30"/>
    </row>
    <row r="87" spans="1:26" x14ac:dyDescent="0.25">
      <c r="A87" s="127"/>
      <c r="B87" s="118"/>
      <c r="C87" s="118"/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118"/>
      <c r="Q87" s="118"/>
      <c r="R87" s="118"/>
      <c r="S87" s="6"/>
    </row>
    <row r="88" spans="1:26" x14ac:dyDescent="0.25">
      <c r="A88" s="127"/>
      <c r="B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6"/>
    </row>
    <row r="89" spans="1:26" x14ac:dyDescent="0.25">
      <c r="A89" s="127"/>
      <c r="B89" s="11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18"/>
      <c r="O89" s="118"/>
      <c r="P89" s="118"/>
      <c r="Q89" s="118"/>
      <c r="R89" s="118"/>
      <c r="S89" s="6"/>
    </row>
    <row r="90" spans="1:26" x14ac:dyDescent="0.25">
      <c r="A90" s="127"/>
      <c r="B90" s="118"/>
      <c r="C90" s="118"/>
      <c r="D90" s="118"/>
      <c r="E90" s="118"/>
      <c r="F90" s="118"/>
      <c r="G90" s="118"/>
      <c r="H90" s="118"/>
      <c r="I90" s="118"/>
      <c r="J90" s="118"/>
      <c r="K90" s="118"/>
      <c r="L90" s="118"/>
      <c r="M90" s="118"/>
      <c r="N90" s="118"/>
      <c r="O90" s="118"/>
      <c r="P90" s="118"/>
      <c r="Q90" s="118"/>
      <c r="R90" s="118"/>
      <c r="S90" s="76"/>
    </row>
    <row r="91" spans="1:26" x14ac:dyDescent="0.25">
      <c r="A91" s="127"/>
      <c r="B91" s="118"/>
      <c r="C91" s="118"/>
      <c r="D91" s="118"/>
      <c r="E91" s="118"/>
      <c r="F91" s="118"/>
      <c r="G91" s="118"/>
      <c r="H91" s="118"/>
      <c r="I91" s="118"/>
      <c r="J91" s="118"/>
      <c r="K91" s="118"/>
      <c r="L91" s="118"/>
      <c r="M91" s="118"/>
      <c r="N91" s="118"/>
      <c r="O91" s="118"/>
      <c r="P91" s="118"/>
      <c r="Q91" s="118"/>
      <c r="R91" s="118"/>
      <c r="S91" s="77"/>
    </row>
    <row r="92" spans="1:26" ht="15" customHeight="1" x14ac:dyDescent="0.25">
      <c r="A92" s="127"/>
      <c r="B92" s="118"/>
      <c r="C92" s="118"/>
      <c r="D92" s="118"/>
      <c r="E92" s="118"/>
      <c r="F92" s="118"/>
      <c r="G92" s="118"/>
      <c r="H92" s="118"/>
      <c r="I92" s="118"/>
      <c r="J92" s="118"/>
      <c r="K92" s="118"/>
      <c r="L92" s="118"/>
      <c r="M92" s="118"/>
      <c r="N92" s="118"/>
      <c r="O92" s="118"/>
      <c r="P92" s="118"/>
      <c r="Q92" s="118"/>
      <c r="R92" s="118"/>
      <c r="S92" s="77"/>
    </row>
    <row r="93" spans="1:26" ht="15" customHeight="1" x14ac:dyDescent="0.25">
      <c r="A93" s="14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77"/>
    </row>
    <row r="94" spans="1:26" ht="15" customHeight="1" x14ac:dyDescent="0.25">
      <c r="A94" s="14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77"/>
    </row>
    <row r="95" spans="1:26" ht="15" customHeight="1" x14ac:dyDescent="0.25">
      <c r="A95" s="80"/>
      <c r="B95" s="54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77"/>
    </row>
    <row r="96" spans="1:26" ht="15" customHeight="1" x14ac:dyDescent="0.25">
      <c r="A96" s="80"/>
      <c r="B96" s="54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77"/>
    </row>
    <row r="97" spans="1:19" ht="15" customHeight="1" x14ac:dyDescent="0.25">
      <c r="A97" s="80"/>
      <c r="B97" s="125"/>
      <c r="C97" s="125"/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77"/>
    </row>
    <row r="98" spans="1:19" ht="15" customHeight="1" x14ac:dyDescent="0.25">
      <c r="A98" s="82"/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77"/>
    </row>
    <row r="99" spans="1:19" ht="15" customHeight="1" x14ac:dyDescent="0.25">
      <c r="A99" s="128"/>
      <c r="B99" s="125"/>
      <c r="C99" s="125"/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6"/>
    </row>
    <row r="100" spans="1:19" ht="15" customHeight="1" x14ac:dyDescent="0.25">
      <c r="A100" s="128"/>
      <c r="B100" s="125"/>
      <c r="C100" s="125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6"/>
    </row>
    <row r="101" spans="1:19" ht="15" customHeight="1" x14ac:dyDescent="0.25">
      <c r="A101" s="128"/>
      <c r="B101" s="125"/>
      <c r="C101" s="125"/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6"/>
    </row>
    <row r="102" spans="1:19" ht="15" customHeight="1" x14ac:dyDescent="0.25">
      <c r="A102" s="128"/>
      <c r="B102" s="125"/>
      <c r="C102" s="125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6"/>
    </row>
    <row r="103" spans="1:19" ht="15" customHeight="1" x14ac:dyDescent="0.25">
      <c r="A103" s="128"/>
      <c r="B103" s="125"/>
      <c r="C103" s="125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6"/>
    </row>
    <row r="104" spans="1:19" ht="15" customHeight="1" x14ac:dyDescent="0.25">
      <c r="A104" s="128"/>
      <c r="B104" s="125"/>
      <c r="C104" s="125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6"/>
    </row>
    <row r="105" spans="1:19" ht="15" customHeight="1" x14ac:dyDescent="0.25">
      <c r="A105" s="128"/>
      <c r="B105" s="125"/>
      <c r="C105" s="125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6"/>
    </row>
    <row r="106" spans="1:19" ht="15" customHeight="1" x14ac:dyDescent="0.25">
      <c r="A106" s="128"/>
      <c r="B106" s="125"/>
      <c r="C106" s="125"/>
      <c r="D106" s="125"/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6"/>
    </row>
    <row r="107" spans="1:19" ht="15" customHeight="1" x14ac:dyDescent="0.25">
      <c r="A107" s="128"/>
      <c r="B107" s="125"/>
      <c r="C107" s="125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6"/>
    </row>
    <row r="108" spans="1:19" ht="15" customHeight="1" x14ac:dyDescent="0.25">
      <c r="A108" s="128"/>
      <c r="B108" s="125"/>
      <c r="C108" s="125"/>
      <c r="D108" s="125"/>
      <c r="E108" s="125"/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6"/>
    </row>
    <row r="109" spans="1:19" ht="15" customHeight="1" x14ac:dyDescent="0.25">
      <c r="A109" s="128"/>
      <c r="B109" s="125"/>
      <c r="C109" s="125"/>
      <c r="D109" s="125"/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6"/>
    </row>
    <row r="110" spans="1:19" ht="15" customHeight="1" x14ac:dyDescent="0.25">
      <c r="A110" s="128"/>
      <c r="B110" s="125"/>
      <c r="C110" s="125"/>
      <c r="D110" s="125"/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6"/>
    </row>
    <row r="111" spans="1:19" ht="15" customHeight="1" x14ac:dyDescent="0.25">
      <c r="A111" s="128"/>
      <c r="B111" s="125"/>
      <c r="C111" s="125"/>
      <c r="D111" s="125"/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6"/>
    </row>
    <row r="112" spans="1:19" ht="15" customHeight="1" x14ac:dyDescent="0.25">
      <c r="A112" s="128"/>
      <c r="B112" s="125"/>
      <c r="C112" s="125"/>
      <c r="D112" s="125"/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6"/>
    </row>
    <row r="113" spans="1:19" ht="15" customHeight="1" x14ac:dyDescent="0.25">
      <c r="A113" s="128"/>
      <c r="B113" s="125"/>
      <c r="C113" s="125"/>
      <c r="D113" s="125"/>
      <c r="E113" s="125"/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6"/>
    </row>
    <row r="114" spans="1:19" ht="15" customHeight="1" x14ac:dyDescent="0.25">
      <c r="A114" s="128"/>
      <c r="B114" s="125"/>
      <c r="C114" s="125"/>
      <c r="D114" s="125"/>
      <c r="E114" s="125"/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6"/>
    </row>
    <row r="115" spans="1:19" ht="15" customHeight="1" x14ac:dyDescent="0.25">
      <c r="A115" s="128"/>
      <c r="B115" s="125"/>
      <c r="C115" s="125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6"/>
    </row>
    <row r="116" spans="1:19" ht="15" customHeight="1" x14ac:dyDescent="0.25">
      <c r="A116" s="128"/>
      <c r="B116" s="125"/>
      <c r="C116" s="125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6"/>
    </row>
    <row r="117" spans="1:19" ht="15" customHeight="1" x14ac:dyDescent="0.25">
      <c r="A117" s="128"/>
      <c r="B117" s="125"/>
      <c r="C117" s="125"/>
      <c r="D117" s="125"/>
      <c r="E117" s="125"/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6"/>
    </row>
    <row r="118" spans="1:19" ht="15" customHeight="1" x14ac:dyDescent="0.25">
      <c r="A118" s="128"/>
      <c r="B118" s="125"/>
      <c r="C118" s="125"/>
      <c r="D118" s="125"/>
      <c r="E118" s="125"/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6"/>
    </row>
    <row r="119" spans="1:19" ht="15" customHeight="1" x14ac:dyDescent="0.25">
      <c r="A119" s="128"/>
      <c r="B119" s="125"/>
      <c r="C119" s="125"/>
      <c r="D119" s="125"/>
      <c r="E119" s="125"/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6"/>
    </row>
    <row r="120" spans="1:19" ht="15" customHeight="1" x14ac:dyDescent="0.25">
      <c r="A120" s="128"/>
      <c r="B120" s="125"/>
      <c r="C120" s="125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6"/>
    </row>
    <row r="121" spans="1:19" ht="15" customHeight="1" x14ac:dyDescent="0.25">
      <c r="A121" s="128"/>
      <c r="B121" s="125"/>
      <c r="C121" s="125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6"/>
    </row>
    <row r="122" spans="1:19" ht="15" customHeight="1" x14ac:dyDescent="0.25">
      <c r="A122" s="128"/>
      <c r="B122" s="125"/>
      <c r="C122" s="125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6"/>
    </row>
    <row r="123" spans="1:19" ht="15" customHeight="1" x14ac:dyDescent="0.25">
      <c r="A123" s="128"/>
      <c r="B123" s="125"/>
      <c r="C123" s="125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6"/>
    </row>
    <row r="124" spans="1:19" ht="15" customHeight="1" x14ac:dyDescent="0.25">
      <c r="A124" s="128"/>
      <c r="B124" s="125"/>
      <c r="C124" s="125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6"/>
    </row>
    <row r="125" spans="1:19" ht="15" customHeight="1" x14ac:dyDescent="0.25">
      <c r="A125" s="128"/>
      <c r="B125" s="125"/>
      <c r="C125" s="125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6"/>
    </row>
    <row r="126" spans="1:19" ht="15" customHeight="1" x14ac:dyDescent="0.25">
      <c r="A126" s="128"/>
      <c r="B126" s="125"/>
      <c r="C126" s="125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6"/>
    </row>
    <row r="127" spans="1:19" ht="15" customHeight="1" x14ac:dyDescent="0.25">
      <c r="A127" s="128"/>
      <c r="B127" s="125"/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6"/>
    </row>
    <row r="128" spans="1:19" ht="15" customHeight="1" x14ac:dyDescent="0.25">
      <c r="A128" s="128"/>
      <c r="B128" s="125"/>
      <c r="C128" s="125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6"/>
    </row>
    <row r="129" spans="1:27" ht="15" customHeight="1" x14ac:dyDescent="0.25">
      <c r="A129" s="128"/>
      <c r="B129" s="125"/>
      <c r="C129" s="125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6"/>
    </row>
    <row r="130" spans="1:27" ht="15" customHeight="1" x14ac:dyDescent="0.25">
      <c r="A130" s="128"/>
      <c r="B130" s="125"/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6"/>
    </row>
    <row r="131" spans="1:27" ht="15" customHeight="1" x14ac:dyDescent="0.25">
      <c r="A131" s="128"/>
      <c r="B131" s="125"/>
      <c r="C131" s="125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6"/>
    </row>
    <row r="132" spans="1:27" ht="15" customHeight="1" x14ac:dyDescent="0.25">
      <c r="A132" s="5"/>
      <c r="B132" s="125"/>
      <c r="C132" s="125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6"/>
    </row>
    <row r="133" spans="1:27" ht="15" customHeight="1" x14ac:dyDescent="0.25">
      <c r="A133" s="5"/>
      <c r="B133" s="125"/>
      <c r="C133" s="125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6"/>
    </row>
    <row r="134" spans="1:27" ht="15" customHeight="1" x14ac:dyDescent="0.25">
      <c r="A134" s="5"/>
      <c r="B134" s="125"/>
      <c r="C134" s="125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6"/>
    </row>
    <row r="135" spans="1:27" ht="15" customHeight="1" x14ac:dyDescent="0.25">
      <c r="A135" s="5"/>
      <c r="B135" s="125"/>
      <c r="C135" s="125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6"/>
    </row>
    <row r="136" spans="1:27" x14ac:dyDescent="0.25">
      <c r="A136" s="15"/>
      <c r="S136" s="6"/>
    </row>
    <row r="137" spans="1:27" ht="15" customHeight="1" x14ac:dyDescent="0.25">
      <c r="A137" s="14"/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6"/>
    </row>
    <row r="138" spans="1:27" ht="15" customHeight="1" x14ac:dyDescent="0.25">
      <c r="A138" s="14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6"/>
    </row>
    <row r="139" spans="1:27" ht="15" customHeight="1" x14ac:dyDescent="0.25">
      <c r="A139" s="14"/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6"/>
    </row>
    <row r="140" spans="1:27" ht="15" customHeight="1" x14ac:dyDescent="0.25">
      <c r="A140" s="80"/>
      <c r="B140" s="54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76"/>
    </row>
    <row r="141" spans="1:27" ht="15" customHeight="1" x14ac:dyDescent="0.25">
      <c r="A141" s="80"/>
      <c r="B141" s="54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76"/>
    </row>
    <row r="142" spans="1:27" ht="15" customHeight="1" x14ac:dyDescent="0.25">
      <c r="A142" s="83"/>
      <c r="B142" s="59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78"/>
    </row>
    <row r="143" spans="1:27" x14ac:dyDescent="0.25">
      <c r="G143" s="30"/>
      <c r="AA143" s="2"/>
    </row>
    <row r="144" spans="1:27" ht="15" customHeight="1" x14ac:dyDescent="0.25">
      <c r="G144" s="30"/>
      <c r="AA144" s="2"/>
    </row>
    <row r="145" spans="7:27" x14ac:dyDescent="0.25">
      <c r="G145" s="30"/>
      <c r="AA145" s="2"/>
    </row>
    <row r="146" spans="7:27" x14ac:dyDescent="0.25">
      <c r="G146" s="30"/>
      <c r="AA146" s="2"/>
    </row>
    <row r="147" spans="7:27" x14ac:dyDescent="0.25">
      <c r="G147" s="30"/>
      <c r="AA147" s="2"/>
    </row>
    <row r="148" spans="7:27" x14ac:dyDescent="0.25">
      <c r="G148" s="30"/>
      <c r="AA148" s="2"/>
    </row>
    <row r="149" spans="7:27" x14ac:dyDescent="0.25">
      <c r="G149" s="30"/>
      <c r="AA149" s="2"/>
    </row>
    <row r="150" spans="7:27" x14ac:dyDescent="0.25">
      <c r="G150" s="30"/>
      <c r="AA150" s="2"/>
    </row>
    <row r="151" spans="7:27" x14ac:dyDescent="0.25">
      <c r="G151" s="30"/>
      <c r="AA151" s="2"/>
    </row>
    <row r="152" spans="7:27" x14ac:dyDescent="0.25">
      <c r="G152" s="30"/>
      <c r="AA152" s="2"/>
    </row>
    <row r="153" spans="7:27" x14ac:dyDescent="0.25">
      <c r="G153" s="30"/>
      <c r="AA153" s="2"/>
    </row>
    <row r="154" spans="7:27" x14ac:dyDescent="0.25">
      <c r="G154" s="30"/>
      <c r="AA154" s="2"/>
    </row>
    <row r="155" spans="7:27" x14ac:dyDescent="0.25">
      <c r="G155" s="30"/>
      <c r="AA155" s="2"/>
    </row>
    <row r="156" spans="7:27" x14ac:dyDescent="0.25">
      <c r="G156" s="30"/>
      <c r="AA156" s="2"/>
    </row>
    <row r="157" spans="7:27" x14ac:dyDescent="0.25">
      <c r="G157" s="30"/>
      <c r="AA157" s="2"/>
    </row>
    <row r="158" spans="7:27" x14ac:dyDescent="0.25">
      <c r="G158" s="30"/>
      <c r="AA158" s="2"/>
    </row>
    <row r="159" spans="7:27" x14ac:dyDescent="0.25">
      <c r="G159" s="30"/>
      <c r="AA159" s="2"/>
    </row>
    <row r="160" spans="7:27" x14ac:dyDescent="0.25">
      <c r="G160" s="30"/>
      <c r="AA160" s="2"/>
    </row>
    <row r="161" spans="7:27" x14ac:dyDescent="0.25">
      <c r="G161" s="30"/>
      <c r="AA161" s="2"/>
    </row>
    <row r="162" spans="7:27" x14ac:dyDescent="0.25">
      <c r="G162" s="30"/>
      <c r="AA162" s="2"/>
    </row>
    <row r="163" spans="7:27" x14ac:dyDescent="0.25">
      <c r="G163" s="30"/>
      <c r="AA163" s="2"/>
    </row>
    <row r="164" spans="7:27" x14ac:dyDescent="0.25">
      <c r="G164" s="30"/>
      <c r="AA164" s="2"/>
    </row>
    <row r="165" spans="7:27" x14ac:dyDescent="0.25">
      <c r="G165" s="30"/>
      <c r="AA165" s="2"/>
    </row>
    <row r="166" spans="7:27" x14ac:dyDescent="0.25">
      <c r="G166" s="30"/>
      <c r="AA166" s="2"/>
    </row>
    <row r="167" spans="7:27" x14ac:dyDescent="0.25">
      <c r="G167" s="30"/>
      <c r="AA167" s="2"/>
    </row>
    <row r="168" spans="7:27" x14ac:dyDescent="0.25">
      <c r="G168" s="30"/>
      <c r="AA168" s="2"/>
    </row>
    <row r="169" spans="7:27" x14ac:dyDescent="0.25">
      <c r="G169" s="30"/>
      <c r="AA169" s="2"/>
    </row>
    <row r="170" spans="7:27" x14ac:dyDescent="0.25">
      <c r="G170" s="30"/>
      <c r="AA170" s="2"/>
    </row>
    <row r="171" spans="7:27" x14ac:dyDescent="0.25">
      <c r="G171" s="30"/>
      <c r="AA171" s="2"/>
    </row>
    <row r="172" spans="7:27" x14ac:dyDescent="0.25">
      <c r="G172" s="30"/>
      <c r="AA172" s="2"/>
    </row>
    <row r="173" spans="7:27" x14ac:dyDescent="0.25">
      <c r="G173" s="30"/>
      <c r="AA173" s="2"/>
    </row>
    <row r="174" spans="7:27" x14ac:dyDescent="0.25">
      <c r="G174" s="30"/>
      <c r="AA174" s="2"/>
    </row>
    <row r="175" spans="7:27" x14ac:dyDescent="0.25">
      <c r="G175" s="30"/>
      <c r="AA175" s="2"/>
    </row>
    <row r="176" spans="7:27" x14ac:dyDescent="0.25">
      <c r="G176" s="30"/>
      <c r="AA176" s="2"/>
    </row>
    <row r="177" spans="7:27" x14ac:dyDescent="0.25">
      <c r="G177" s="30"/>
      <c r="AA177" s="2"/>
    </row>
    <row r="178" spans="7:27" x14ac:dyDescent="0.25">
      <c r="G178" s="30"/>
      <c r="AA178" s="2"/>
    </row>
    <row r="179" spans="7:27" x14ac:dyDescent="0.25">
      <c r="G179" s="30"/>
      <c r="AA179" s="2"/>
    </row>
    <row r="180" spans="7:27" x14ac:dyDescent="0.25">
      <c r="G180" s="30"/>
      <c r="AA180" s="2"/>
    </row>
    <row r="181" spans="7:27" x14ac:dyDescent="0.25">
      <c r="G181" s="30"/>
      <c r="AA181" s="2"/>
    </row>
    <row r="182" spans="7:27" ht="15" customHeight="1" x14ac:dyDescent="0.25">
      <c r="G182" s="30"/>
      <c r="AA182" s="2"/>
    </row>
    <row r="183" spans="7:27" ht="15" customHeight="1" x14ac:dyDescent="0.25">
      <c r="G183" s="30"/>
      <c r="AA183" s="2"/>
    </row>
    <row r="184" spans="7:27" ht="15" customHeight="1" x14ac:dyDescent="0.25">
      <c r="G184" s="30"/>
      <c r="AA184" s="2"/>
    </row>
    <row r="185" spans="7:27" ht="15" customHeight="1" x14ac:dyDescent="0.25">
      <c r="G185" s="30"/>
      <c r="AA185" s="2"/>
    </row>
    <row r="186" spans="7:27" ht="15" customHeight="1" x14ac:dyDescent="0.25">
      <c r="G186" s="30"/>
      <c r="AA186" s="2"/>
    </row>
    <row r="187" spans="7:27" ht="15" customHeight="1" x14ac:dyDescent="0.25">
      <c r="G187" s="30"/>
      <c r="AA187" s="2"/>
    </row>
    <row r="188" spans="7:27" x14ac:dyDescent="0.25">
      <c r="G188" s="30"/>
      <c r="AA188" s="2"/>
    </row>
    <row r="189" spans="7:27" ht="15" customHeight="1" x14ac:dyDescent="0.25">
      <c r="G189" s="30"/>
      <c r="AA189" s="2"/>
    </row>
    <row r="190" spans="7:27" x14ac:dyDescent="0.25">
      <c r="G190" s="30"/>
      <c r="AA190" s="2"/>
    </row>
    <row r="191" spans="7:27" x14ac:dyDescent="0.25">
      <c r="G191" s="30"/>
      <c r="AA191" s="2"/>
    </row>
    <row r="192" spans="7:27" x14ac:dyDescent="0.25">
      <c r="G192" s="30"/>
      <c r="AA192" s="2"/>
    </row>
    <row r="193" spans="7:27" x14ac:dyDescent="0.25">
      <c r="G193" s="30"/>
      <c r="AA193" s="2"/>
    </row>
    <row r="194" spans="7:27" x14ac:dyDescent="0.25">
      <c r="G194" s="30"/>
      <c r="AA194" s="2"/>
    </row>
    <row r="195" spans="7:27" x14ac:dyDescent="0.25">
      <c r="G195" s="30"/>
      <c r="AA195" s="2"/>
    </row>
    <row r="196" spans="7:27" x14ac:dyDescent="0.25">
      <c r="G196" s="30"/>
      <c r="AA196" s="2"/>
    </row>
    <row r="197" spans="7:27" x14ac:dyDescent="0.25">
      <c r="G197" s="30"/>
      <c r="AA197" s="2"/>
    </row>
    <row r="198" spans="7:27" x14ac:dyDescent="0.25">
      <c r="G198" s="30"/>
      <c r="AA198" s="2"/>
    </row>
    <row r="199" spans="7:27" x14ac:dyDescent="0.25">
      <c r="G199" s="30"/>
      <c r="AA199" s="2"/>
    </row>
    <row r="200" spans="7:27" x14ac:dyDescent="0.25">
      <c r="G200" s="30"/>
      <c r="AA200" s="2"/>
    </row>
    <row r="201" spans="7:27" x14ac:dyDescent="0.25">
      <c r="G201" s="30"/>
      <c r="AA201" s="2"/>
    </row>
    <row r="202" spans="7:27" x14ac:dyDescent="0.25">
      <c r="G202" s="30"/>
      <c r="AA202" s="2"/>
    </row>
    <row r="203" spans="7:27" x14ac:dyDescent="0.25">
      <c r="G203" s="30"/>
      <c r="AA203" s="2"/>
    </row>
    <row r="204" spans="7:27" x14ac:dyDescent="0.25">
      <c r="G204" s="30"/>
      <c r="AA204" s="2"/>
    </row>
    <row r="205" spans="7:27" x14ac:dyDescent="0.25">
      <c r="G205" s="30"/>
      <c r="AA205" s="2"/>
    </row>
    <row r="206" spans="7:27" x14ac:dyDescent="0.25">
      <c r="G206" s="30"/>
      <c r="AA206" s="2"/>
    </row>
    <row r="207" spans="7:27" x14ac:dyDescent="0.25">
      <c r="G207" s="30"/>
      <c r="AA207" s="2"/>
    </row>
    <row r="208" spans="7:27" x14ac:dyDescent="0.25">
      <c r="G208" s="30"/>
      <c r="AA208" s="2"/>
    </row>
    <row r="209" spans="7:27" x14ac:dyDescent="0.25">
      <c r="G209" s="30"/>
      <c r="AA209" s="2"/>
    </row>
    <row r="210" spans="7:27" x14ac:dyDescent="0.25">
      <c r="G210" s="30"/>
      <c r="AA210" s="2"/>
    </row>
    <row r="211" spans="7:27" x14ac:dyDescent="0.25">
      <c r="G211" s="30"/>
      <c r="AA211" s="2"/>
    </row>
    <row r="212" spans="7:27" x14ac:dyDescent="0.25">
      <c r="G212" s="30"/>
      <c r="AA212" s="2"/>
    </row>
    <row r="213" spans="7:27" x14ac:dyDescent="0.25">
      <c r="G213" s="30"/>
      <c r="AA213" s="2"/>
    </row>
    <row r="214" spans="7:27" x14ac:dyDescent="0.25">
      <c r="G214" s="30"/>
      <c r="AA214" s="2"/>
    </row>
    <row r="215" spans="7:27" x14ac:dyDescent="0.25">
      <c r="G215" s="30"/>
      <c r="AA215" s="2"/>
    </row>
    <row r="216" spans="7:27" x14ac:dyDescent="0.25">
      <c r="G216" s="30"/>
      <c r="AA216" s="2"/>
    </row>
    <row r="217" spans="7:27" x14ac:dyDescent="0.25">
      <c r="G217" s="30"/>
      <c r="AA217" s="2"/>
    </row>
    <row r="218" spans="7:27" x14ac:dyDescent="0.25">
      <c r="G218" s="30"/>
      <c r="AA218" s="2"/>
    </row>
    <row r="219" spans="7:27" x14ac:dyDescent="0.25">
      <c r="G219" s="30"/>
      <c r="AA219" s="2"/>
    </row>
    <row r="220" spans="7:27" x14ac:dyDescent="0.25">
      <c r="G220" s="30"/>
      <c r="AA220" s="2"/>
    </row>
    <row r="221" spans="7:27" x14ac:dyDescent="0.25">
      <c r="G221" s="30"/>
      <c r="AA221" s="2"/>
    </row>
    <row r="222" spans="7:27" x14ac:dyDescent="0.25">
      <c r="G222" s="30"/>
      <c r="AA222" s="2"/>
    </row>
    <row r="223" spans="7:27" x14ac:dyDescent="0.25">
      <c r="G223" s="30"/>
      <c r="AA223" s="2"/>
    </row>
    <row r="224" spans="7:27" x14ac:dyDescent="0.25">
      <c r="G224" s="30"/>
      <c r="AA224" s="2"/>
    </row>
    <row r="225" spans="7:27" x14ac:dyDescent="0.25">
      <c r="G225" s="30"/>
      <c r="AA225" s="2"/>
    </row>
    <row r="226" spans="7:27" x14ac:dyDescent="0.25">
      <c r="G226" s="30"/>
      <c r="AA226" s="2"/>
    </row>
    <row r="227" spans="7:27" ht="15" customHeight="1" x14ac:dyDescent="0.25">
      <c r="G227" s="30"/>
      <c r="AA227" s="2"/>
    </row>
    <row r="228" spans="7:27" ht="15" customHeight="1" x14ac:dyDescent="0.25">
      <c r="G228" s="30"/>
      <c r="AA228" s="2"/>
    </row>
    <row r="229" spans="7:27" ht="15" customHeight="1" x14ac:dyDescent="0.25">
      <c r="G229" s="30"/>
      <c r="AA229" s="2"/>
    </row>
    <row r="230" spans="7:27" ht="15" customHeight="1" x14ac:dyDescent="0.25">
      <c r="G230" s="30"/>
      <c r="AA230" s="2"/>
    </row>
    <row r="231" spans="7:27" ht="15" customHeight="1" x14ac:dyDescent="0.25">
      <c r="G231" s="30"/>
      <c r="AA231" s="2"/>
    </row>
    <row r="232" spans="7:27" ht="15" customHeight="1" x14ac:dyDescent="0.25">
      <c r="G232" s="30"/>
      <c r="AA232" s="2"/>
    </row>
    <row r="233" spans="7:27" x14ac:dyDescent="0.25">
      <c r="G233" s="30"/>
      <c r="AA233" s="2"/>
    </row>
    <row r="234" spans="7:27" ht="15" customHeight="1" x14ac:dyDescent="0.25">
      <c r="G234" s="30"/>
      <c r="AA234" s="2"/>
    </row>
    <row r="235" spans="7:27" x14ac:dyDescent="0.25">
      <c r="G235" s="30"/>
      <c r="AA235" s="2"/>
    </row>
    <row r="236" spans="7:27" x14ac:dyDescent="0.25">
      <c r="G236" s="30"/>
      <c r="AA236" s="2"/>
    </row>
    <row r="237" spans="7:27" x14ac:dyDescent="0.25">
      <c r="G237" s="30"/>
      <c r="AA237" s="2"/>
    </row>
    <row r="238" spans="7:27" x14ac:dyDescent="0.25">
      <c r="G238" s="30"/>
      <c r="AA238" s="2"/>
    </row>
    <row r="239" spans="7:27" x14ac:dyDescent="0.25">
      <c r="G239" s="30"/>
      <c r="AA239" s="2"/>
    </row>
    <row r="240" spans="7:27" x14ac:dyDescent="0.25">
      <c r="G240" s="30"/>
      <c r="AA240" s="2"/>
    </row>
    <row r="241" spans="7:27" x14ac:dyDescent="0.25">
      <c r="G241" s="30"/>
      <c r="AA241" s="2"/>
    </row>
    <row r="242" spans="7:27" x14ac:dyDescent="0.25">
      <c r="G242" s="30"/>
      <c r="AA242" s="2"/>
    </row>
    <row r="243" spans="7:27" x14ac:dyDescent="0.25">
      <c r="G243" s="30"/>
      <c r="AA243" s="2"/>
    </row>
    <row r="244" spans="7:27" x14ac:dyDescent="0.25">
      <c r="G244" s="30"/>
      <c r="AA244" s="2"/>
    </row>
    <row r="245" spans="7:27" x14ac:dyDescent="0.25">
      <c r="G245" s="30"/>
      <c r="AA245" s="2"/>
    </row>
    <row r="246" spans="7:27" x14ac:dyDescent="0.25">
      <c r="G246" s="30"/>
      <c r="AA246" s="2"/>
    </row>
    <row r="247" spans="7:27" x14ac:dyDescent="0.25">
      <c r="G247" s="30"/>
      <c r="AA247" s="2"/>
    </row>
    <row r="248" spans="7:27" x14ac:dyDescent="0.25">
      <c r="G248" s="30"/>
      <c r="AA248" s="2"/>
    </row>
    <row r="249" spans="7:27" x14ac:dyDescent="0.25">
      <c r="G249" s="30"/>
      <c r="AA249" s="2"/>
    </row>
    <row r="250" spans="7:27" x14ac:dyDescent="0.25">
      <c r="G250" s="30"/>
      <c r="AA250" s="2"/>
    </row>
    <row r="251" spans="7:27" x14ac:dyDescent="0.25">
      <c r="G251" s="30"/>
      <c r="AA251" s="2"/>
    </row>
    <row r="252" spans="7:27" x14ac:dyDescent="0.25">
      <c r="G252" s="30"/>
      <c r="AA252" s="2"/>
    </row>
    <row r="253" spans="7:27" x14ac:dyDescent="0.25">
      <c r="G253" s="30"/>
      <c r="AA253" s="2"/>
    </row>
    <row r="254" spans="7:27" x14ac:dyDescent="0.25">
      <c r="G254" s="30"/>
      <c r="AA254" s="2"/>
    </row>
    <row r="255" spans="7:27" x14ac:dyDescent="0.25">
      <c r="G255" s="30"/>
      <c r="AA255" s="2"/>
    </row>
    <row r="256" spans="7:27" x14ac:dyDescent="0.25">
      <c r="G256" s="30"/>
      <c r="AA256" s="2"/>
    </row>
    <row r="257" spans="7:27" x14ac:dyDescent="0.25">
      <c r="G257" s="30"/>
      <c r="AA257" s="2"/>
    </row>
    <row r="258" spans="7:27" x14ac:dyDescent="0.25">
      <c r="G258" s="30"/>
      <c r="AA258" s="2"/>
    </row>
    <row r="259" spans="7:27" x14ac:dyDescent="0.25">
      <c r="G259" s="30"/>
      <c r="AA259" s="2"/>
    </row>
    <row r="260" spans="7:27" x14ac:dyDescent="0.25">
      <c r="G260" s="30"/>
      <c r="AA260" s="2"/>
    </row>
    <row r="261" spans="7:27" x14ac:dyDescent="0.25">
      <c r="G261" s="30"/>
      <c r="AA261" s="2"/>
    </row>
    <row r="262" spans="7:27" x14ac:dyDescent="0.25">
      <c r="G262" s="30"/>
      <c r="AA262" s="2"/>
    </row>
    <row r="263" spans="7:27" x14ac:dyDescent="0.25">
      <c r="G263" s="30"/>
      <c r="AA263" s="2"/>
    </row>
    <row r="264" spans="7:27" x14ac:dyDescent="0.25">
      <c r="G264" s="30"/>
      <c r="AA264" s="2"/>
    </row>
    <row r="265" spans="7:27" x14ac:dyDescent="0.25">
      <c r="G265" s="30"/>
      <c r="AA265" s="2"/>
    </row>
    <row r="266" spans="7:27" x14ac:dyDescent="0.25">
      <c r="G266" s="30"/>
      <c r="AA266" s="2"/>
    </row>
    <row r="267" spans="7:27" x14ac:dyDescent="0.25">
      <c r="G267" s="30"/>
      <c r="AA267" s="2"/>
    </row>
    <row r="268" spans="7:27" x14ac:dyDescent="0.25">
      <c r="G268" s="30"/>
      <c r="AA268" s="2"/>
    </row>
    <row r="269" spans="7:27" x14ac:dyDescent="0.25">
      <c r="G269" s="30"/>
      <c r="AA269" s="2"/>
    </row>
    <row r="270" spans="7:27" x14ac:dyDescent="0.25">
      <c r="G270" s="30"/>
      <c r="AA270" s="2"/>
    </row>
    <row r="271" spans="7:27" x14ac:dyDescent="0.25">
      <c r="G271" s="30"/>
      <c r="AA271" s="2"/>
    </row>
    <row r="272" spans="7:27" x14ac:dyDescent="0.25">
      <c r="G272" s="30"/>
      <c r="AA272" s="2"/>
    </row>
    <row r="273" spans="7:27" x14ac:dyDescent="0.25">
      <c r="G273" s="30"/>
      <c r="AA273" s="2"/>
    </row>
  </sheetData>
  <mergeCells count="12">
    <mergeCell ref="B11:R49"/>
    <mergeCell ref="A54:A92"/>
    <mergeCell ref="B54:R92"/>
    <mergeCell ref="B97:R135"/>
    <mergeCell ref="A99:A131"/>
    <mergeCell ref="E1:O3"/>
    <mergeCell ref="E4:E5"/>
    <mergeCell ref="F4:O5"/>
    <mergeCell ref="E6:E7"/>
    <mergeCell ref="F6:O7"/>
    <mergeCell ref="E8:E9"/>
    <mergeCell ref="F8:O9"/>
  </mergeCells>
  <pageMargins left="0.19685039370078741" right="0.19685039370078741" top="0.19685039370078741" bottom="0.19685039370078741" header="0" footer="0.35433070866141736"/>
  <pageSetup paperSize="9" scale="39" fitToHeight="3" orientation="portrait" horizontalDpi="1200" verticalDpi="1200" r:id="rId1"/>
  <headerFooter alignWithMargins="0">
    <oddFooter xml:space="preserve">&amp;C&amp;18Tooshop | M. Santos | &amp;D&amp;R&amp;18Página &amp;P de &amp;N   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273"/>
  <sheetViews>
    <sheetView tabSelected="1" view="pageBreakPreview" zoomScale="37" zoomScaleNormal="70" zoomScaleSheetLayoutView="37" workbookViewId="0">
      <selection activeCell="Z84" sqref="Z84"/>
    </sheetView>
  </sheetViews>
  <sheetFormatPr defaultRowHeight="15" x14ac:dyDescent="0.25"/>
  <cols>
    <col min="1" max="1" width="4.7109375" style="2" customWidth="1"/>
    <col min="2" max="2" width="9.140625" style="2"/>
    <col min="3" max="4" width="15.7109375" style="2" customWidth="1"/>
    <col min="5" max="5" width="30.7109375" style="2" customWidth="1"/>
    <col min="6" max="6" width="18.7109375" style="2" customWidth="1"/>
    <col min="7" max="13" width="9.140625" style="2"/>
    <col min="14" max="14" width="25.7109375" style="2" customWidth="1"/>
    <col min="15" max="15" width="30.7109375" style="2" customWidth="1"/>
    <col min="16" max="17" width="15.7109375" style="2" customWidth="1"/>
    <col min="18" max="18" width="9.140625" style="2" customWidth="1"/>
    <col min="19" max="19" width="4.5703125" style="2" customWidth="1"/>
    <col min="20" max="20" width="50.140625" style="2" customWidth="1"/>
    <col min="21" max="21" width="6.85546875" style="2" customWidth="1"/>
    <col min="22" max="22" width="6.5703125" style="2" customWidth="1"/>
    <col min="23" max="23" width="6.7109375" style="2" customWidth="1"/>
    <col min="24" max="24" width="7.28515625" style="2" customWidth="1"/>
    <col min="25" max="25" width="9.140625" style="2"/>
    <col min="26" max="26" width="39" style="2" bestFit="1" customWidth="1"/>
    <col min="27" max="27" width="13.5703125" style="30" bestFit="1" customWidth="1"/>
    <col min="28" max="28" width="10.42578125" style="2" bestFit="1" customWidth="1"/>
    <col min="29" max="29" width="19.42578125" style="2" bestFit="1" customWidth="1"/>
    <col min="30" max="30" width="5.42578125" style="2" bestFit="1" customWidth="1"/>
    <col min="31" max="16384" width="9.140625" style="2"/>
  </cols>
  <sheetData>
    <row r="1" spans="1:30" ht="15" customHeight="1" x14ac:dyDescent="0.25">
      <c r="A1" s="13"/>
      <c r="B1" s="3"/>
      <c r="C1" s="3"/>
      <c r="D1" s="3"/>
      <c r="E1" s="116" t="s">
        <v>3</v>
      </c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3"/>
      <c r="Q1" s="3"/>
      <c r="R1" s="3"/>
      <c r="S1" s="4"/>
      <c r="T1" s="10"/>
      <c r="Z1" s="49" t="s">
        <v>4</v>
      </c>
      <c r="AA1" s="88"/>
      <c r="AB1" s="102"/>
      <c r="AC1" s="103"/>
      <c r="AD1" s="104"/>
    </row>
    <row r="2" spans="1:30" ht="15" customHeight="1" x14ac:dyDescent="0.25">
      <c r="A2" s="14"/>
      <c r="B2" s="56"/>
      <c r="C2" s="56"/>
      <c r="D2" s="56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58"/>
      <c r="Q2" s="56"/>
      <c r="R2" s="56"/>
      <c r="S2" s="6"/>
      <c r="Z2" s="50" t="s">
        <v>477</v>
      </c>
      <c r="AA2" s="89">
        <v>2</v>
      </c>
      <c r="AB2" s="95"/>
      <c r="AC2" s="95"/>
      <c r="AD2" s="105"/>
    </row>
    <row r="3" spans="1:30" ht="15" customHeight="1" x14ac:dyDescent="0.25">
      <c r="A3" s="14"/>
      <c r="B3" s="56"/>
      <c r="C3" s="56"/>
      <c r="D3" s="56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58"/>
      <c r="Q3" s="56"/>
      <c r="R3" s="56"/>
      <c r="S3" s="6"/>
      <c r="Z3" s="50" t="s">
        <v>476</v>
      </c>
      <c r="AA3" s="89"/>
      <c r="AB3" s="95"/>
      <c r="AC3" s="95"/>
      <c r="AD3" s="105"/>
    </row>
    <row r="4" spans="1:30" ht="15" customHeight="1" x14ac:dyDescent="0.25">
      <c r="A4" s="14"/>
      <c r="B4" s="56"/>
      <c r="C4" s="56"/>
      <c r="D4" s="56"/>
      <c r="E4" s="129" t="str">
        <f>"Projeto: "</f>
        <v xml:space="preserve">Projeto: </v>
      </c>
      <c r="F4" s="131" t="str">
        <f>T7</f>
        <v>VW216 - TCROSS</v>
      </c>
      <c r="G4" s="131"/>
      <c r="H4" s="131"/>
      <c r="I4" s="131"/>
      <c r="J4" s="131"/>
      <c r="K4" s="131"/>
      <c r="L4" s="131"/>
      <c r="M4" s="131"/>
      <c r="N4" s="131"/>
      <c r="O4" s="132"/>
      <c r="P4" s="58"/>
      <c r="Q4" s="56"/>
      <c r="R4" s="56"/>
      <c r="S4" s="6"/>
      <c r="Z4" s="50" t="s">
        <v>218</v>
      </c>
      <c r="AA4" s="89"/>
      <c r="AB4" s="95"/>
      <c r="AC4" s="95"/>
      <c r="AD4" s="105"/>
    </row>
    <row r="5" spans="1:30" ht="15" customHeight="1" x14ac:dyDescent="0.25">
      <c r="A5" s="80"/>
      <c r="B5" s="54"/>
      <c r="C5" s="55"/>
      <c r="D5" s="55"/>
      <c r="E5" s="130"/>
      <c r="F5" s="133"/>
      <c r="G5" s="133"/>
      <c r="H5" s="133"/>
      <c r="I5" s="133"/>
      <c r="J5" s="133"/>
      <c r="K5" s="133"/>
      <c r="L5" s="133"/>
      <c r="M5" s="133"/>
      <c r="N5" s="133"/>
      <c r="O5" s="134"/>
      <c r="P5" s="58"/>
      <c r="Q5" s="55"/>
      <c r="R5" s="55"/>
      <c r="S5" s="6"/>
      <c r="Z5" s="50" t="s">
        <v>475</v>
      </c>
      <c r="AA5" s="89"/>
      <c r="AB5" s="95"/>
      <c r="AC5" s="95"/>
      <c r="AD5" s="105"/>
    </row>
    <row r="6" spans="1:30" ht="15" customHeight="1" x14ac:dyDescent="0.25">
      <c r="A6" s="80"/>
      <c r="B6" s="54"/>
      <c r="C6" s="55"/>
      <c r="D6" s="55"/>
      <c r="E6" s="135" t="str">
        <f>"Peça: "</f>
        <v xml:space="preserve">Peça: </v>
      </c>
      <c r="F6" s="136" t="str">
        <f>T8</f>
        <v>2GM.823.155</v>
      </c>
      <c r="G6" s="136"/>
      <c r="H6" s="136"/>
      <c r="I6" s="136"/>
      <c r="J6" s="136"/>
      <c r="K6" s="136"/>
      <c r="L6" s="136"/>
      <c r="M6" s="136"/>
      <c r="N6" s="136"/>
      <c r="O6" s="137"/>
      <c r="P6" s="58"/>
      <c r="Q6" s="55"/>
      <c r="R6" s="55"/>
      <c r="S6" s="6"/>
      <c r="T6" s="17" t="s">
        <v>370</v>
      </c>
      <c r="Z6" s="50" t="s">
        <v>249</v>
      </c>
      <c r="AA6" s="89">
        <v>1</v>
      </c>
      <c r="AB6" s="95"/>
      <c r="AC6" s="95"/>
      <c r="AD6" s="105"/>
    </row>
    <row r="7" spans="1:30" ht="15" customHeight="1" x14ac:dyDescent="0.25">
      <c r="A7" s="80"/>
      <c r="B7" s="54"/>
      <c r="C7" s="55"/>
      <c r="D7" s="55"/>
      <c r="E7" s="130"/>
      <c r="F7" s="133"/>
      <c r="G7" s="133"/>
      <c r="H7" s="133"/>
      <c r="I7" s="133"/>
      <c r="J7" s="133"/>
      <c r="K7" s="133"/>
      <c r="L7" s="133"/>
      <c r="M7" s="133"/>
      <c r="N7" s="133"/>
      <c r="O7" s="134"/>
      <c r="P7" s="55"/>
      <c r="Q7" s="55"/>
      <c r="R7" s="55"/>
      <c r="S7" s="6"/>
      <c r="T7" s="53" t="s">
        <v>135</v>
      </c>
      <c r="Z7" s="50" t="s">
        <v>2</v>
      </c>
      <c r="AA7" s="89">
        <f>SUM(AA2:AA6)</f>
        <v>3</v>
      </c>
      <c r="AB7" s="95">
        <f>SUM(AB2:AB6)</f>
        <v>0</v>
      </c>
      <c r="AC7" s="95"/>
      <c r="AD7" s="105"/>
    </row>
    <row r="8" spans="1:30" ht="15" customHeight="1" x14ac:dyDescent="0.25">
      <c r="A8" s="15"/>
      <c r="E8" s="135" t="str">
        <f>"Ano: "</f>
        <v xml:space="preserve">Ano: </v>
      </c>
      <c r="F8" s="136">
        <f>T9</f>
        <v>2017</v>
      </c>
      <c r="G8" s="136"/>
      <c r="H8" s="136"/>
      <c r="I8" s="136"/>
      <c r="J8" s="136"/>
      <c r="K8" s="136"/>
      <c r="L8" s="136"/>
      <c r="M8" s="136"/>
      <c r="N8" s="136"/>
      <c r="O8" s="137"/>
      <c r="S8" s="6"/>
      <c r="T8" s="2" t="s">
        <v>137</v>
      </c>
      <c r="Z8" s="48" t="s">
        <v>5</v>
      </c>
      <c r="AA8" s="90"/>
      <c r="AB8" s="106"/>
      <c r="AC8" s="106"/>
      <c r="AD8" s="107"/>
    </row>
    <row r="9" spans="1:30" ht="15" customHeight="1" x14ac:dyDescent="0.25">
      <c r="A9" s="81"/>
      <c r="B9" s="57"/>
      <c r="C9" s="57"/>
      <c r="D9" s="57"/>
      <c r="E9" s="130"/>
      <c r="F9" s="133"/>
      <c r="G9" s="133"/>
      <c r="H9" s="133"/>
      <c r="I9" s="133"/>
      <c r="J9" s="133"/>
      <c r="K9" s="133"/>
      <c r="L9" s="133"/>
      <c r="M9" s="133"/>
      <c r="N9" s="133"/>
      <c r="O9" s="134"/>
      <c r="P9" s="57"/>
      <c r="Q9" s="57"/>
      <c r="R9" s="57"/>
      <c r="S9" s="6"/>
      <c r="T9" s="2">
        <v>2017</v>
      </c>
      <c r="Z9" s="44" t="s">
        <v>8</v>
      </c>
      <c r="AA9" s="91"/>
      <c r="AB9" s="108"/>
      <c r="AC9" s="108"/>
      <c r="AD9" s="109"/>
    </row>
    <row r="10" spans="1:30" x14ac:dyDescent="0.25">
      <c r="A10" s="81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6"/>
      <c r="Z10" s="44" t="s">
        <v>7</v>
      </c>
      <c r="AA10" s="91"/>
      <c r="AB10" s="108"/>
      <c r="AC10" s="108"/>
      <c r="AD10" s="109"/>
    </row>
    <row r="11" spans="1:30" ht="15" customHeight="1" x14ac:dyDescent="0.25">
      <c r="A11" s="81"/>
      <c r="B11" s="118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6"/>
      <c r="Z11" s="44" t="s">
        <v>41</v>
      </c>
      <c r="AA11" s="91"/>
      <c r="AB11" s="108"/>
      <c r="AC11" s="108"/>
      <c r="AD11" s="109"/>
    </row>
    <row r="12" spans="1:30" ht="15" customHeight="1" x14ac:dyDescent="0.25">
      <c r="A12" s="81"/>
      <c r="B12" s="118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6"/>
      <c r="Z12" s="44" t="s">
        <v>40</v>
      </c>
      <c r="AA12" s="91"/>
      <c r="AB12" s="108"/>
      <c r="AC12" s="108"/>
      <c r="AD12" s="109"/>
    </row>
    <row r="13" spans="1:30" ht="15" customHeight="1" x14ac:dyDescent="0.25">
      <c r="A13" s="81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6"/>
      <c r="T13" s="12"/>
      <c r="Z13" s="44" t="s">
        <v>1</v>
      </c>
      <c r="AA13" s="91"/>
      <c r="AB13" s="108"/>
      <c r="AC13" s="108"/>
      <c r="AD13" s="109"/>
    </row>
    <row r="14" spans="1:30" ht="15" customHeight="1" x14ac:dyDescent="0.25">
      <c r="A14" s="81"/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6"/>
      <c r="T14" s="11"/>
      <c r="Z14" s="96" t="s">
        <v>356</v>
      </c>
      <c r="AA14" s="94"/>
      <c r="AB14" s="110"/>
      <c r="AC14" s="110"/>
      <c r="AD14" s="111"/>
    </row>
    <row r="15" spans="1:30" ht="15" customHeight="1" x14ac:dyDescent="0.25">
      <c r="A15" s="81"/>
      <c r="B15" s="118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6"/>
      <c r="Z15" s="45" t="s">
        <v>353</v>
      </c>
      <c r="AA15" s="98"/>
      <c r="AB15" s="99"/>
      <c r="AC15" s="100"/>
      <c r="AD15" s="101"/>
    </row>
    <row r="16" spans="1:30" ht="15" customHeight="1" x14ac:dyDescent="0.25">
      <c r="A16" s="81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6"/>
      <c r="Z16" s="45" t="s">
        <v>185</v>
      </c>
      <c r="AA16" s="98"/>
      <c r="AB16" s="99"/>
      <c r="AC16" s="100"/>
      <c r="AD16" s="101">
        <v>2</v>
      </c>
    </row>
    <row r="17" spans="1:30" x14ac:dyDescent="0.25">
      <c r="A17" s="81"/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6"/>
      <c r="Z17" s="45" t="s">
        <v>210</v>
      </c>
      <c r="AA17" s="98"/>
      <c r="AB17" s="99"/>
      <c r="AC17" s="100"/>
      <c r="AD17" s="101"/>
    </row>
    <row r="18" spans="1:30" x14ac:dyDescent="0.25">
      <c r="A18" s="81"/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6"/>
      <c r="Z18" s="45" t="s">
        <v>354</v>
      </c>
      <c r="AA18" s="98"/>
      <c r="AB18" s="99"/>
      <c r="AC18" s="100"/>
      <c r="AD18" s="101"/>
    </row>
    <row r="19" spans="1:30" x14ac:dyDescent="0.25">
      <c r="A19" s="81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6"/>
      <c r="Z19" s="45" t="s">
        <v>46</v>
      </c>
      <c r="AA19" s="98"/>
      <c r="AB19" s="99"/>
      <c r="AC19" s="100"/>
      <c r="AD19" s="101">
        <v>1</v>
      </c>
    </row>
    <row r="20" spans="1:30" x14ac:dyDescent="0.25">
      <c r="A20" s="81"/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6"/>
      <c r="Z20" s="45" t="s">
        <v>204</v>
      </c>
      <c r="AA20" s="98"/>
      <c r="AB20" s="99"/>
      <c r="AC20" s="100"/>
      <c r="AD20" s="101"/>
    </row>
    <row r="21" spans="1:30" x14ac:dyDescent="0.25">
      <c r="A21" s="81"/>
      <c r="B21" s="118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6"/>
      <c r="Z21" s="45" t="s">
        <v>143</v>
      </c>
      <c r="AA21" s="98"/>
      <c r="AB21" s="99"/>
      <c r="AC21" s="100"/>
      <c r="AD21" s="101"/>
    </row>
    <row r="22" spans="1:30" x14ac:dyDescent="0.25">
      <c r="A22" s="81"/>
      <c r="B22" s="118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6"/>
      <c r="Z22" s="45" t="s">
        <v>147</v>
      </c>
      <c r="AA22" s="98"/>
      <c r="AB22" s="99"/>
      <c r="AC22" s="100"/>
      <c r="AD22" s="101"/>
    </row>
    <row r="23" spans="1:30" x14ac:dyDescent="0.25">
      <c r="A23" s="81"/>
      <c r="B23" s="118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6"/>
      <c r="Z23" s="45" t="s">
        <v>57</v>
      </c>
      <c r="AA23" s="98"/>
      <c r="AB23" s="99"/>
      <c r="AC23" s="100"/>
      <c r="AD23" s="101"/>
    </row>
    <row r="24" spans="1:30" x14ac:dyDescent="0.25">
      <c r="A24" s="81"/>
      <c r="B24" s="11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6"/>
      <c r="Z24" s="46" t="s">
        <v>52</v>
      </c>
      <c r="AA24" s="98"/>
      <c r="AB24" s="99"/>
      <c r="AC24" s="100"/>
      <c r="AD24" s="101"/>
    </row>
    <row r="25" spans="1:30" x14ac:dyDescent="0.25">
      <c r="A25" s="81"/>
      <c r="B25" s="118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6"/>
      <c r="Z25" s="46"/>
      <c r="AA25" s="98"/>
      <c r="AB25" s="99"/>
      <c r="AC25" s="100"/>
      <c r="AD25" s="101"/>
    </row>
    <row r="26" spans="1:30" x14ac:dyDescent="0.25">
      <c r="A26" s="81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6"/>
      <c r="Z26" s="46"/>
      <c r="AA26" s="92"/>
      <c r="AB26" s="100"/>
      <c r="AC26" s="100"/>
      <c r="AD26" s="101"/>
    </row>
    <row r="27" spans="1:30" x14ac:dyDescent="0.25">
      <c r="A27" s="81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6"/>
      <c r="Z27" s="46"/>
      <c r="AA27" s="92"/>
      <c r="AB27" s="100"/>
      <c r="AC27" s="100"/>
      <c r="AD27" s="101"/>
    </row>
    <row r="28" spans="1:30" x14ac:dyDescent="0.25">
      <c r="A28" s="81"/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6"/>
      <c r="Z28" s="97"/>
      <c r="AA28" s="92" t="s">
        <v>8</v>
      </c>
      <c r="AB28" s="100" t="s">
        <v>7</v>
      </c>
      <c r="AC28" s="100" t="s">
        <v>41</v>
      </c>
      <c r="AD28" s="101" t="s">
        <v>479</v>
      </c>
    </row>
    <row r="29" spans="1:30" x14ac:dyDescent="0.25">
      <c r="A29" s="81"/>
      <c r="B29" s="118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6"/>
      <c r="Z29" s="46"/>
      <c r="AA29" s="92"/>
      <c r="AB29" s="100"/>
      <c r="AC29" s="100"/>
      <c r="AD29" s="101"/>
    </row>
    <row r="30" spans="1:30" x14ac:dyDescent="0.25">
      <c r="A30" s="81"/>
      <c r="B30" s="118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6"/>
      <c r="Z30" s="46"/>
      <c r="AA30" s="92"/>
      <c r="AB30" s="100"/>
      <c r="AC30" s="100"/>
      <c r="AD30" s="101"/>
    </row>
    <row r="31" spans="1:30" x14ac:dyDescent="0.25">
      <c r="A31" s="81"/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6"/>
      <c r="Z31" s="46"/>
      <c r="AA31" s="92"/>
      <c r="AB31" s="100"/>
      <c r="AC31" s="100"/>
      <c r="AD31" s="101"/>
    </row>
    <row r="32" spans="1:30" x14ac:dyDescent="0.25">
      <c r="A32" s="81"/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6"/>
      <c r="Z32" s="46"/>
      <c r="AA32" s="92"/>
      <c r="AB32" s="100"/>
      <c r="AC32" s="100"/>
      <c r="AD32" s="101"/>
    </row>
    <row r="33" spans="1:30" x14ac:dyDescent="0.25">
      <c r="A33" s="81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6"/>
      <c r="Z33" s="46"/>
      <c r="AA33" s="92"/>
      <c r="AB33" s="100"/>
      <c r="AC33" s="100"/>
      <c r="AD33" s="101"/>
    </row>
    <row r="34" spans="1:30" x14ac:dyDescent="0.25">
      <c r="A34" s="81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6"/>
      <c r="Z34" s="97"/>
      <c r="AA34" s="92"/>
      <c r="AB34" s="100"/>
      <c r="AC34" s="100"/>
      <c r="AD34" s="101"/>
    </row>
    <row r="35" spans="1:30" x14ac:dyDescent="0.25">
      <c r="A35" s="81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6"/>
      <c r="Z35" s="46"/>
      <c r="AA35" s="92"/>
      <c r="AB35" s="100"/>
      <c r="AC35" s="100"/>
      <c r="AD35" s="101"/>
    </row>
    <row r="36" spans="1:30" x14ac:dyDescent="0.25">
      <c r="A36" s="81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6"/>
      <c r="Z36" s="46"/>
      <c r="AA36" s="92"/>
      <c r="AB36" s="100"/>
      <c r="AC36" s="100"/>
      <c r="AD36" s="101"/>
    </row>
    <row r="37" spans="1:30" x14ac:dyDescent="0.25">
      <c r="A37" s="81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6"/>
      <c r="Z37" s="46"/>
      <c r="AA37" s="92"/>
      <c r="AB37" s="100"/>
      <c r="AC37" s="100"/>
      <c r="AD37" s="101"/>
    </row>
    <row r="38" spans="1:30" x14ac:dyDescent="0.25">
      <c r="A38" s="81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6"/>
      <c r="Z38" s="46"/>
      <c r="AA38" s="92"/>
      <c r="AB38" s="100"/>
      <c r="AC38" s="100"/>
      <c r="AD38" s="101"/>
    </row>
    <row r="39" spans="1:30" ht="15.75" thickBot="1" x14ac:dyDescent="0.3">
      <c r="A39" s="81"/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6"/>
      <c r="Z39" s="47"/>
      <c r="AA39" s="93"/>
      <c r="AB39" s="112"/>
      <c r="AC39" s="112"/>
      <c r="AD39" s="113"/>
    </row>
    <row r="40" spans="1:30" x14ac:dyDescent="0.25">
      <c r="A40" s="81"/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6"/>
    </row>
    <row r="41" spans="1:30" x14ac:dyDescent="0.25">
      <c r="A41" s="81"/>
      <c r="B41" s="118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6"/>
    </row>
    <row r="42" spans="1:30" x14ac:dyDescent="0.25">
      <c r="A42" s="5"/>
      <c r="B42" s="118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6"/>
    </row>
    <row r="43" spans="1:30" x14ac:dyDescent="0.25">
      <c r="A43" s="5"/>
      <c r="B43" s="118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6"/>
    </row>
    <row r="44" spans="1:30" x14ac:dyDescent="0.25">
      <c r="A44" s="5"/>
      <c r="B44" s="118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6"/>
    </row>
    <row r="45" spans="1:30" x14ac:dyDescent="0.25">
      <c r="A45" s="5"/>
      <c r="B45" s="118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8"/>
      <c r="Q45" s="118"/>
      <c r="R45" s="118"/>
      <c r="S45" s="6"/>
    </row>
    <row r="46" spans="1:30" x14ac:dyDescent="0.25">
      <c r="A46" s="15"/>
      <c r="B46" s="118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6"/>
    </row>
    <row r="47" spans="1:30" ht="15" customHeight="1" x14ac:dyDescent="0.25">
      <c r="A47" s="14"/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6"/>
    </row>
    <row r="48" spans="1:30" ht="15" customHeight="1" x14ac:dyDescent="0.25">
      <c r="A48" s="14"/>
      <c r="B48" s="118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6"/>
    </row>
    <row r="49" spans="1:19" ht="15" customHeight="1" x14ac:dyDescent="0.25">
      <c r="A49" s="14"/>
      <c r="B49" s="118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6"/>
    </row>
    <row r="50" spans="1:19" ht="15" customHeight="1" x14ac:dyDescent="0.25">
      <c r="A50" s="80"/>
      <c r="B50" s="54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6"/>
    </row>
    <row r="51" spans="1:19" ht="15" customHeight="1" x14ac:dyDescent="0.25">
      <c r="A51" s="80"/>
      <c r="B51" s="59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"/>
    </row>
    <row r="52" spans="1:19" ht="15" customHeight="1" x14ac:dyDescent="0.25">
      <c r="A52" s="80"/>
      <c r="B52" s="54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6"/>
    </row>
    <row r="53" spans="1:19" x14ac:dyDescent="0.25">
      <c r="A53" s="15"/>
      <c r="S53" s="6"/>
    </row>
    <row r="54" spans="1:19" ht="15" customHeight="1" x14ac:dyDescent="0.25">
      <c r="A54" s="127" t="s">
        <v>163</v>
      </c>
      <c r="B54" s="118"/>
      <c r="C54" s="118"/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6"/>
    </row>
    <row r="55" spans="1:19" x14ac:dyDescent="0.25">
      <c r="A55" s="127"/>
      <c r="B55" s="118"/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6"/>
    </row>
    <row r="56" spans="1:19" x14ac:dyDescent="0.25">
      <c r="A56" s="127"/>
      <c r="B56" s="118"/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6"/>
    </row>
    <row r="57" spans="1:19" x14ac:dyDescent="0.25">
      <c r="A57" s="127"/>
      <c r="B57" s="118"/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6"/>
    </row>
    <row r="58" spans="1:19" x14ac:dyDescent="0.25">
      <c r="A58" s="127"/>
      <c r="B58" s="118"/>
      <c r="C58" s="118"/>
      <c r="D58" s="118"/>
      <c r="E58" s="118"/>
      <c r="F58" s="118"/>
      <c r="G58" s="118"/>
      <c r="H58" s="118"/>
      <c r="I58" s="118"/>
      <c r="J58" s="118"/>
      <c r="K58" s="118"/>
      <c r="L58" s="118"/>
      <c r="M58" s="118"/>
      <c r="N58" s="118"/>
      <c r="O58" s="118"/>
      <c r="P58" s="118"/>
      <c r="Q58" s="118"/>
      <c r="R58" s="118"/>
      <c r="S58" s="6"/>
    </row>
    <row r="59" spans="1:19" x14ac:dyDescent="0.25">
      <c r="A59" s="127"/>
      <c r="B59" s="118"/>
      <c r="C59" s="118"/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6"/>
    </row>
    <row r="60" spans="1:19" x14ac:dyDescent="0.25">
      <c r="A60" s="127"/>
      <c r="B60" s="118"/>
      <c r="C60" s="118"/>
      <c r="D60" s="118"/>
      <c r="E60" s="118"/>
      <c r="F60" s="118"/>
      <c r="G60" s="118"/>
      <c r="H60" s="118"/>
      <c r="I60" s="118"/>
      <c r="J60" s="118"/>
      <c r="K60" s="118"/>
      <c r="L60" s="118"/>
      <c r="M60" s="118"/>
      <c r="N60" s="118"/>
      <c r="O60" s="118"/>
      <c r="P60" s="118"/>
      <c r="Q60" s="118"/>
      <c r="R60" s="118"/>
      <c r="S60" s="6"/>
    </row>
    <row r="61" spans="1:19" x14ac:dyDescent="0.25">
      <c r="A61" s="127"/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6"/>
    </row>
    <row r="62" spans="1:19" x14ac:dyDescent="0.25">
      <c r="A62" s="127"/>
      <c r="B62" s="118"/>
      <c r="C62" s="118"/>
      <c r="D62" s="118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6"/>
    </row>
    <row r="63" spans="1:19" x14ac:dyDescent="0.25">
      <c r="A63" s="127"/>
      <c r="B63" s="118"/>
      <c r="C63" s="118"/>
      <c r="D63" s="118"/>
      <c r="E63" s="118"/>
      <c r="F63" s="118"/>
      <c r="G63" s="118"/>
      <c r="H63" s="118"/>
      <c r="I63" s="118"/>
      <c r="J63" s="118"/>
      <c r="K63" s="118"/>
      <c r="L63" s="118"/>
      <c r="M63" s="118"/>
      <c r="N63" s="118"/>
      <c r="O63" s="118"/>
      <c r="P63" s="118"/>
      <c r="Q63" s="118"/>
      <c r="R63" s="118"/>
      <c r="S63" s="6"/>
    </row>
    <row r="64" spans="1:19" x14ac:dyDescent="0.25">
      <c r="A64" s="127"/>
      <c r="B64" s="118"/>
      <c r="C64" s="118"/>
      <c r="D64" s="118"/>
      <c r="E64" s="118"/>
      <c r="F64" s="118"/>
      <c r="G64" s="118"/>
      <c r="H64" s="118"/>
      <c r="I64" s="118"/>
      <c r="J64" s="118"/>
      <c r="K64" s="118"/>
      <c r="L64" s="118"/>
      <c r="M64" s="118"/>
      <c r="N64" s="118"/>
      <c r="O64" s="118"/>
      <c r="P64" s="118"/>
      <c r="Q64" s="118"/>
      <c r="R64" s="118"/>
      <c r="S64" s="6"/>
    </row>
    <row r="65" spans="1:19" x14ac:dyDescent="0.25">
      <c r="A65" s="127"/>
      <c r="B65" s="118"/>
      <c r="C65" s="118"/>
      <c r="D65" s="118"/>
      <c r="E65" s="118"/>
      <c r="F65" s="118"/>
      <c r="G65" s="118"/>
      <c r="H65" s="118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6"/>
    </row>
    <row r="66" spans="1:19" x14ac:dyDescent="0.25">
      <c r="A66" s="127"/>
      <c r="B66" s="118"/>
      <c r="C66" s="118"/>
      <c r="D66" s="118"/>
      <c r="E66" s="118"/>
      <c r="F66" s="118"/>
      <c r="G66" s="118"/>
      <c r="H66" s="118"/>
      <c r="I66" s="118"/>
      <c r="J66" s="118"/>
      <c r="K66" s="118"/>
      <c r="L66" s="118"/>
      <c r="M66" s="118"/>
      <c r="N66" s="118"/>
      <c r="O66" s="118"/>
      <c r="P66" s="118"/>
      <c r="Q66" s="118"/>
      <c r="R66" s="118"/>
      <c r="S66" s="6"/>
    </row>
    <row r="67" spans="1:19" x14ac:dyDescent="0.25">
      <c r="A67" s="127"/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6"/>
    </row>
    <row r="68" spans="1:19" x14ac:dyDescent="0.25">
      <c r="A68" s="127"/>
      <c r="B68" s="118"/>
      <c r="C68" s="118"/>
      <c r="D68" s="118"/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118"/>
      <c r="Q68" s="118"/>
      <c r="R68" s="118"/>
      <c r="S68" s="6"/>
    </row>
    <row r="69" spans="1:19" x14ac:dyDescent="0.25">
      <c r="A69" s="127"/>
      <c r="B69" s="118"/>
      <c r="C69" s="118"/>
      <c r="D69" s="118"/>
      <c r="E69" s="118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118"/>
      <c r="Q69" s="118"/>
      <c r="R69" s="118"/>
      <c r="S69" s="6"/>
    </row>
    <row r="70" spans="1:19" x14ac:dyDescent="0.25">
      <c r="A70" s="127"/>
      <c r="B70" s="118"/>
      <c r="C70" s="118"/>
      <c r="D70" s="118"/>
      <c r="E70" s="118"/>
      <c r="F70" s="118"/>
      <c r="G70" s="118"/>
      <c r="H70" s="118"/>
      <c r="I70" s="118"/>
      <c r="J70" s="118"/>
      <c r="K70" s="118"/>
      <c r="L70" s="118"/>
      <c r="M70" s="118"/>
      <c r="N70" s="118"/>
      <c r="O70" s="118"/>
      <c r="P70" s="118"/>
      <c r="Q70" s="118"/>
      <c r="R70" s="118"/>
      <c r="S70" s="6"/>
    </row>
    <row r="71" spans="1:19" x14ac:dyDescent="0.25">
      <c r="A71" s="127"/>
      <c r="B71" s="118"/>
      <c r="C71" s="118"/>
      <c r="D71" s="118"/>
      <c r="E71" s="118"/>
      <c r="F71" s="118"/>
      <c r="G71" s="118"/>
      <c r="H71" s="118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6"/>
    </row>
    <row r="72" spans="1:19" x14ac:dyDescent="0.25">
      <c r="A72" s="127"/>
      <c r="B72" s="118"/>
      <c r="C72" s="118"/>
      <c r="D72" s="118"/>
      <c r="E72" s="118"/>
      <c r="F72" s="118"/>
      <c r="G72" s="118"/>
      <c r="H72" s="118"/>
      <c r="I72" s="118"/>
      <c r="J72" s="118"/>
      <c r="K72" s="118"/>
      <c r="L72" s="118"/>
      <c r="M72" s="118"/>
      <c r="N72" s="118"/>
      <c r="O72" s="118"/>
      <c r="P72" s="118"/>
      <c r="Q72" s="118"/>
      <c r="R72" s="118"/>
      <c r="S72" s="6"/>
    </row>
    <row r="73" spans="1:19" x14ac:dyDescent="0.25">
      <c r="A73" s="127"/>
      <c r="B73" s="118"/>
      <c r="C73" s="118"/>
      <c r="D73" s="118"/>
      <c r="E73" s="118"/>
      <c r="F73" s="118"/>
      <c r="G73" s="118"/>
      <c r="H73" s="118"/>
      <c r="I73" s="118"/>
      <c r="J73" s="118"/>
      <c r="K73" s="118"/>
      <c r="L73" s="118"/>
      <c r="M73" s="118"/>
      <c r="N73" s="118"/>
      <c r="O73" s="118"/>
      <c r="P73" s="118"/>
      <c r="Q73" s="118"/>
      <c r="R73" s="118"/>
      <c r="S73" s="6"/>
    </row>
    <row r="74" spans="1:19" x14ac:dyDescent="0.25">
      <c r="A74" s="127"/>
      <c r="B74" s="118"/>
      <c r="C74" s="118"/>
      <c r="D74" s="118"/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6"/>
    </row>
    <row r="75" spans="1:19" x14ac:dyDescent="0.25">
      <c r="A75" s="127"/>
      <c r="B75" s="118"/>
      <c r="C75" s="118"/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6"/>
    </row>
    <row r="76" spans="1:19" x14ac:dyDescent="0.25">
      <c r="A76" s="127"/>
      <c r="B76" s="118"/>
      <c r="C76" s="118"/>
      <c r="D76" s="118"/>
      <c r="E76" s="118"/>
      <c r="F76" s="118"/>
      <c r="G76" s="118"/>
      <c r="H76" s="118"/>
      <c r="I76" s="118"/>
      <c r="J76" s="118"/>
      <c r="K76" s="118"/>
      <c r="L76" s="118"/>
      <c r="M76" s="118"/>
      <c r="N76" s="118"/>
      <c r="O76" s="118"/>
      <c r="P76" s="118"/>
      <c r="Q76" s="118"/>
      <c r="R76" s="118"/>
      <c r="S76" s="6"/>
    </row>
    <row r="77" spans="1:19" x14ac:dyDescent="0.25">
      <c r="A77" s="127"/>
      <c r="B77" s="118"/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6"/>
    </row>
    <row r="78" spans="1:19" x14ac:dyDescent="0.25">
      <c r="A78" s="127"/>
      <c r="B78" s="118"/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6"/>
    </row>
    <row r="79" spans="1:19" x14ac:dyDescent="0.25">
      <c r="A79" s="127"/>
      <c r="B79" s="118"/>
      <c r="C79" s="118"/>
      <c r="D79" s="118"/>
      <c r="E79" s="118"/>
      <c r="F79" s="118"/>
      <c r="G79" s="118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6"/>
    </row>
    <row r="80" spans="1:19" x14ac:dyDescent="0.25">
      <c r="A80" s="127"/>
      <c r="B80" s="118"/>
      <c r="C80" s="118"/>
      <c r="D80" s="118"/>
      <c r="E80" s="118"/>
      <c r="F80" s="118"/>
      <c r="G80" s="118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6"/>
    </row>
    <row r="81" spans="1:26" x14ac:dyDescent="0.25">
      <c r="A81" s="127"/>
      <c r="B81" s="118"/>
      <c r="C81" s="118"/>
      <c r="D81" s="118"/>
      <c r="E81" s="118"/>
      <c r="F81" s="118"/>
      <c r="G81" s="118"/>
      <c r="H81" s="118"/>
      <c r="I81" s="118"/>
      <c r="J81" s="118"/>
      <c r="K81" s="118"/>
      <c r="L81" s="118"/>
      <c r="M81" s="118"/>
      <c r="N81" s="118"/>
      <c r="O81" s="118"/>
      <c r="P81" s="118"/>
      <c r="Q81" s="118"/>
      <c r="R81" s="118"/>
      <c r="S81" s="6"/>
    </row>
    <row r="82" spans="1:26" x14ac:dyDescent="0.25">
      <c r="A82" s="127"/>
      <c r="B82" s="118"/>
      <c r="C82" s="118"/>
      <c r="D82" s="118"/>
      <c r="E82" s="118"/>
      <c r="F82" s="118"/>
      <c r="G82" s="118"/>
      <c r="H82" s="118"/>
      <c r="I82" s="118"/>
      <c r="J82" s="118"/>
      <c r="K82" s="118"/>
      <c r="L82" s="118"/>
      <c r="M82" s="118"/>
      <c r="N82" s="118"/>
      <c r="O82" s="118"/>
      <c r="P82" s="118"/>
      <c r="Q82" s="118"/>
      <c r="R82" s="118"/>
      <c r="S82" s="6"/>
    </row>
    <row r="83" spans="1:26" x14ac:dyDescent="0.25">
      <c r="A83" s="127"/>
      <c r="B83" s="118"/>
      <c r="C83" s="118"/>
      <c r="D83" s="118"/>
      <c r="E83" s="118"/>
      <c r="F83" s="118"/>
      <c r="G83" s="118"/>
      <c r="H83" s="118"/>
      <c r="I83" s="118"/>
      <c r="J83" s="118"/>
      <c r="K83" s="118"/>
      <c r="L83" s="118"/>
      <c r="M83" s="118"/>
      <c r="N83" s="118"/>
      <c r="O83" s="118"/>
      <c r="P83" s="118"/>
      <c r="Q83" s="118"/>
      <c r="R83" s="118"/>
      <c r="S83" s="6"/>
    </row>
    <row r="84" spans="1:26" x14ac:dyDescent="0.25">
      <c r="A84" s="127"/>
      <c r="B84" s="118"/>
      <c r="C84" s="118"/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118"/>
      <c r="Q84" s="118"/>
      <c r="R84" s="118"/>
      <c r="S84" s="6"/>
    </row>
    <row r="85" spans="1:26" x14ac:dyDescent="0.25">
      <c r="A85" s="127"/>
      <c r="B85" s="118"/>
      <c r="C85" s="118"/>
      <c r="D85" s="118"/>
      <c r="E85" s="118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118"/>
      <c r="Q85" s="118"/>
      <c r="R85" s="118"/>
      <c r="S85" s="6"/>
    </row>
    <row r="86" spans="1:26" x14ac:dyDescent="0.25">
      <c r="A86" s="127"/>
      <c r="B86" s="118"/>
      <c r="C86" s="118"/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8"/>
      <c r="Q86" s="118"/>
      <c r="R86" s="118"/>
      <c r="S86" s="6"/>
      <c r="Z86" s="30"/>
    </row>
    <row r="87" spans="1:26" x14ac:dyDescent="0.25">
      <c r="A87" s="127"/>
      <c r="B87" s="118"/>
      <c r="C87" s="118"/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118"/>
      <c r="Q87" s="118"/>
      <c r="R87" s="118"/>
      <c r="S87" s="6"/>
    </row>
    <row r="88" spans="1:26" x14ac:dyDescent="0.25">
      <c r="A88" s="127"/>
      <c r="B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6"/>
    </row>
    <row r="89" spans="1:26" x14ac:dyDescent="0.25">
      <c r="A89" s="127"/>
      <c r="B89" s="11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18"/>
      <c r="O89" s="118"/>
      <c r="P89" s="118"/>
      <c r="Q89" s="118"/>
      <c r="R89" s="118"/>
      <c r="S89" s="6"/>
    </row>
    <row r="90" spans="1:26" x14ac:dyDescent="0.25">
      <c r="A90" s="127"/>
      <c r="B90" s="118"/>
      <c r="C90" s="118"/>
      <c r="D90" s="118"/>
      <c r="E90" s="118"/>
      <c r="F90" s="118"/>
      <c r="G90" s="118"/>
      <c r="H90" s="118"/>
      <c r="I90" s="118"/>
      <c r="J90" s="118"/>
      <c r="K90" s="118"/>
      <c r="L90" s="118"/>
      <c r="M90" s="118"/>
      <c r="N90" s="118"/>
      <c r="O90" s="118"/>
      <c r="P90" s="118"/>
      <c r="Q90" s="118"/>
      <c r="R90" s="118"/>
      <c r="S90" s="76"/>
    </row>
    <row r="91" spans="1:26" x14ac:dyDescent="0.25">
      <c r="A91" s="127"/>
      <c r="B91" s="118"/>
      <c r="C91" s="118"/>
      <c r="D91" s="118"/>
      <c r="E91" s="118"/>
      <c r="F91" s="118"/>
      <c r="G91" s="118"/>
      <c r="H91" s="118"/>
      <c r="I91" s="118"/>
      <c r="J91" s="118"/>
      <c r="K91" s="118"/>
      <c r="L91" s="118"/>
      <c r="M91" s="118"/>
      <c r="N91" s="118"/>
      <c r="O91" s="118"/>
      <c r="P91" s="118"/>
      <c r="Q91" s="118"/>
      <c r="R91" s="118"/>
      <c r="S91" s="77"/>
    </row>
    <row r="92" spans="1:26" ht="15" customHeight="1" x14ac:dyDescent="0.25">
      <c r="A92" s="127"/>
      <c r="B92" s="118"/>
      <c r="C92" s="118"/>
      <c r="D92" s="118"/>
      <c r="E92" s="118"/>
      <c r="F92" s="118"/>
      <c r="G92" s="118"/>
      <c r="H92" s="118"/>
      <c r="I92" s="118"/>
      <c r="J92" s="118"/>
      <c r="K92" s="118"/>
      <c r="L92" s="118"/>
      <c r="M92" s="118"/>
      <c r="N92" s="118"/>
      <c r="O92" s="118"/>
      <c r="P92" s="118"/>
      <c r="Q92" s="118"/>
      <c r="R92" s="118"/>
      <c r="S92" s="77"/>
    </row>
    <row r="93" spans="1:26" ht="15" customHeight="1" x14ac:dyDescent="0.25">
      <c r="A93" s="14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77"/>
    </row>
    <row r="94" spans="1:26" ht="15" customHeight="1" x14ac:dyDescent="0.25">
      <c r="A94" s="14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77"/>
    </row>
    <row r="95" spans="1:26" ht="15" customHeight="1" x14ac:dyDescent="0.25">
      <c r="A95" s="80"/>
      <c r="B95" s="54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77"/>
    </row>
    <row r="96" spans="1:26" ht="15" customHeight="1" x14ac:dyDescent="0.25">
      <c r="A96" s="80"/>
      <c r="B96" s="54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77"/>
    </row>
    <row r="97" spans="1:19" ht="15" customHeight="1" x14ac:dyDescent="0.25">
      <c r="A97" s="80"/>
      <c r="B97" s="125"/>
      <c r="C97" s="125"/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77"/>
    </row>
    <row r="98" spans="1:19" ht="15" customHeight="1" x14ac:dyDescent="0.25">
      <c r="A98" s="82"/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77"/>
    </row>
    <row r="99" spans="1:19" ht="15" customHeight="1" x14ac:dyDescent="0.25">
      <c r="A99" s="128"/>
      <c r="B99" s="125"/>
      <c r="C99" s="125"/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6"/>
    </row>
    <row r="100" spans="1:19" ht="15" customHeight="1" x14ac:dyDescent="0.25">
      <c r="A100" s="128"/>
      <c r="B100" s="125"/>
      <c r="C100" s="125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6"/>
    </row>
    <row r="101" spans="1:19" ht="15" customHeight="1" x14ac:dyDescent="0.25">
      <c r="A101" s="128"/>
      <c r="B101" s="125"/>
      <c r="C101" s="125"/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6"/>
    </row>
    <row r="102" spans="1:19" ht="15" customHeight="1" x14ac:dyDescent="0.25">
      <c r="A102" s="128"/>
      <c r="B102" s="125"/>
      <c r="C102" s="125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6"/>
    </row>
    <row r="103" spans="1:19" ht="15" customHeight="1" x14ac:dyDescent="0.25">
      <c r="A103" s="128"/>
      <c r="B103" s="125"/>
      <c r="C103" s="125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6"/>
    </row>
    <row r="104" spans="1:19" ht="15" customHeight="1" x14ac:dyDescent="0.25">
      <c r="A104" s="128"/>
      <c r="B104" s="125"/>
      <c r="C104" s="125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6"/>
    </row>
    <row r="105" spans="1:19" ht="15" customHeight="1" x14ac:dyDescent="0.25">
      <c r="A105" s="128"/>
      <c r="B105" s="125"/>
      <c r="C105" s="125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6"/>
    </row>
    <row r="106" spans="1:19" ht="15" customHeight="1" x14ac:dyDescent="0.25">
      <c r="A106" s="128"/>
      <c r="B106" s="125"/>
      <c r="C106" s="125"/>
      <c r="D106" s="125"/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6"/>
    </row>
    <row r="107" spans="1:19" ht="15" customHeight="1" x14ac:dyDescent="0.25">
      <c r="A107" s="128"/>
      <c r="B107" s="125"/>
      <c r="C107" s="125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6"/>
    </row>
    <row r="108" spans="1:19" ht="15" customHeight="1" x14ac:dyDescent="0.25">
      <c r="A108" s="128"/>
      <c r="B108" s="125"/>
      <c r="C108" s="125"/>
      <c r="D108" s="125"/>
      <c r="E108" s="125"/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6"/>
    </row>
    <row r="109" spans="1:19" ht="15" customHeight="1" x14ac:dyDescent="0.25">
      <c r="A109" s="128"/>
      <c r="B109" s="125"/>
      <c r="C109" s="125"/>
      <c r="D109" s="125"/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6"/>
    </row>
    <row r="110" spans="1:19" ht="15" customHeight="1" x14ac:dyDescent="0.25">
      <c r="A110" s="128"/>
      <c r="B110" s="125"/>
      <c r="C110" s="125"/>
      <c r="D110" s="125"/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6"/>
    </row>
    <row r="111" spans="1:19" ht="15" customHeight="1" x14ac:dyDescent="0.25">
      <c r="A111" s="128"/>
      <c r="B111" s="125"/>
      <c r="C111" s="125"/>
      <c r="D111" s="125"/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6"/>
    </row>
    <row r="112" spans="1:19" ht="15" customHeight="1" x14ac:dyDescent="0.25">
      <c r="A112" s="128"/>
      <c r="B112" s="125"/>
      <c r="C112" s="125"/>
      <c r="D112" s="125"/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6"/>
    </row>
    <row r="113" spans="1:19" ht="15" customHeight="1" x14ac:dyDescent="0.25">
      <c r="A113" s="128"/>
      <c r="B113" s="125"/>
      <c r="C113" s="125"/>
      <c r="D113" s="125"/>
      <c r="E113" s="125"/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6"/>
    </row>
    <row r="114" spans="1:19" ht="15" customHeight="1" x14ac:dyDescent="0.25">
      <c r="A114" s="128"/>
      <c r="B114" s="125"/>
      <c r="C114" s="125"/>
      <c r="D114" s="125"/>
      <c r="E114" s="125"/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6"/>
    </row>
    <row r="115" spans="1:19" ht="15" customHeight="1" x14ac:dyDescent="0.25">
      <c r="A115" s="128"/>
      <c r="B115" s="125"/>
      <c r="C115" s="125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6"/>
    </row>
    <row r="116" spans="1:19" ht="15" customHeight="1" x14ac:dyDescent="0.25">
      <c r="A116" s="128"/>
      <c r="B116" s="125"/>
      <c r="C116" s="125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6"/>
    </row>
    <row r="117" spans="1:19" ht="15" customHeight="1" x14ac:dyDescent="0.25">
      <c r="A117" s="128"/>
      <c r="B117" s="125"/>
      <c r="C117" s="125"/>
      <c r="D117" s="125"/>
      <c r="E117" s="125"/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6"/>
    </row>
    <row r="118" spans="1:19" ht="15" customHeight="1" x14ac:dyDescent="0.25">
      <c r="A118" s="128"/>
      <c r="B118" s="125"/>
      <c r="C118" s="125"/>
      <c r="D118" s="125"/>
      <c r="E118" s="125"/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6"/>
    </row>
    <row r="119" spans="1:19" ht="15" customHeight="1" x14ac:dyDescent="0.25">
      <c r="A119" s="128"/>
      <c r="B119" s="125"/>
      <c r="C119" s="125"/>
      <c r="D119" s="125"/>
      <c r="E119" s="125"/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6"/>
    </row>
    <row r="120" spans="1:19" ht="15" customHeight="1" x14ac:dyDescent="0.25">
      <c r="A120" s="128"/>
      <c r="B120" s="125"/>
      <c r="C120" s="125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6"/>
    </row>
    <row r="121" spans="1:19" ht="15" customHeight="1" x14ac:dyDescent="0.25">
      <c r="A121" s="128"/>
      <c r="B121" s="125"/>
      <c r="C121" s="125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6"/>
    </row>
    <row r="122" spans="1:19" ht="15" customHeight="1" x14ac:dyDescent="0.25">
      <c r="A122" s="128"/>
      <c r="B122" s="125"/>
      <c r="C122" s="125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6"/>
    </row>
    <row r="123" spans="1:19" ht="15" customHeight="1" x14ac:dyDescent="0.25">
      <c r="A123" s="128"/>
      <c r="B123" s="125"/>
      <c r="C123" s="125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6"/>
    </row>
    <row r="124" spans="1:19" ht="15" customHeight="1" x14ac:dyDescent="0.25">
      <c r="A124" s="128"/>
      <c r="B124" s="125"/>
      <c r="C124" s="125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6"/>
    </row>
    <row r="125" spans="1:19" ht="15" customHeight="1" x14ac:dyDescent="0.25">
      <c r="A125" s="128"/>
      <c r="B125" s="125"/>
      <c r="C125" s="125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6"/>
    </row>
    <row r="126" spans="1:19" ht="15" customHeight="1" x14ac:dyDescent="0.25">
      <c r="A126" s="128"/>
      <c r="B126" s="125"/>
      <c r="C126" s="125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6"/>
    </row>
    <row r="127" spans="1:19" ht="15" customHeight="1" x14ac:dyDescent="0.25">
      <c r="A127" s="128"/>
      <c r="B127" s="125"/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6"/>
    </row>
    <row r="128" spans="1:19" ht="15" customHeight="1" x14ac:dyDescent="0.25">
      <c r="A128" s="128"/>
      <c r="B128" s="125"/>
      <c r="C128" s="125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6"/>
    </row>
    <row r="129" spans="1:27" ht="15" customHeight="1" x14ac:dyDescent="0.25">
      <c r="A129" s="128"/>
      <c r="B129" s="125"/>
      <c r="C129" s="125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6"/>
    </row>
    <row r="130" spans="1:27" ht="15" customHeight="1" x14ac:dyDescent="0.25">
      <c r="A130" s="128"/>
      <c r="B130" s="125"/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6"/>
    </row>
    <row r="131" spans="1:27" ht="15" customHeight="1" x14ac:dyDescent="0.25">
      <c r="A131" s="128"/>
      <c r="B131" s="125"/>
      <c r="C131" s="125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6"/>
    </row>
    <row r="132" spans="1:27" ht="15" customHeight="1" x14ac:dyDescent="0.25">
      <c r="A132" s="5"/>
      <c r="B132" s="125"/>
      <c r="C132" s="125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6"/>
    </row>
    <row r="133" spans="1:27" ht="15" customHeight="1" x14ac:dyDescent="0.25">
      <c r="A133" s="5"/>
      <c r="B133" s="125"/>
      <c r="C133" s="125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6"/>
    </row>
    <row r="134" spans="1:27" ht="15" customHeight="1" x14ac:dyDescent="0.25">
      <c r="A134" s="5"/>
      <c r="B134" s="125"/>
      <c r="C134" s="125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6"/>
    </row>
    <row r="135" spans="1:27" ht="15" customHeight="1" x14ac:dyDescent="0.25">
      <c r="A135" s="5"/>
      <c r="B135" s="125"/>
      <c r="C135" s="125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6"/>
    </row>
    <row r="136" spans="1:27" x14ac:dyDescent="0.25">
      <c r="A136" s="15"/>
      <c r="S136" s="6"/>
    </row>
    <row r="137" spans="1:27" ht="15" customHeight="1" x14ac:dyDescent="0.25">
      <c r="A137" s="14"/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6"/>
    </row>
    <row r="138" spans="1:27" ht="15" customHeight="1" x14ac:dyDescent="0.25">
      <c r="A138" s="14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6"/>
    </row>
    <row r="139" spans="1:27" ht="15" customHeight="1" x14ac:dyDescent="0.25">
      <c r="A139" s="14"/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6"/>
    </row>
    <row r="140" spans="1:27" ht="15" customHeight="1" x14ac:dyDescent="0.25">
      <c r="A140" s="80"/>
      <c r="B140" s="54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76"/>
    </row>
    <row r="141" spans="1:27" ht="15" customHeight="1" x14ac:dyDescent="0.25">
      <c r="A141" s="80"/>
      <c r="B141" s="54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76"/>
    </row>
    <row r="142" spans="1:27" ht="15" customHeight="1" x14ac:dyDescent="0.25">
      <c r="A142" s="83"/>
      <c r="B142" s="59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78"/>
    </row>
    <row r="143" spans="1:27" x14ac:dyDescent="0.25">
      <c r="G143" s="30"/>
      <c r="AA143" s="2"/>
    </row>
    <row r="144" spans="1:27" ht="15" customHeight="1" x14ac:dyDescent="0.25">
      <c r="G144" s="30"/>
      <c r="AA144" s="2"/>
    </row>
    <row r="145" spans="7:27" x14ac:dyDescent="0.25">
      <c r="G145" s="30"/>
      <c r="AA145" s="2"/>
    </row>
    <row r="146" spans="7:27" x14ac:dyDescent="0.25">
      <c r="G146" s="30"/>
      <c r="AA146" s="2"/>
    </row>
    <row r="147" spans="7:27" x14ac:dyDescent="0.25">
      <c r="G147" s="30"/>
      <c r="AA147" s="2"/>
    </row>
    <row r="148" spans="7:27" x14ac:dyDescent="0.25">
      <c r="G148" s="30"/>
      <c r="AA148" s="2"/>
    </row>
    <row r="149" spans="7:27" x14ac:dyDescent="0.25">
      <c r="G149" s="30"/>
      <c r="AA149" s="2"/>
    </row>
    <row r="150" spans="7:27" x14ac:dyDescent="0.25">
      <c r="G150" s="30"/>
      <c r="AA150" s="2"/>
    </row>
    <row r="151" spans="7:27" x14ac:dyDescent="0.25">
      <c r="G151" s="30"/>
      <c r="AA151" s="2"/>
    </row>
    <row r="152" spans="7:27" x14ac:dyDescent="0.25">
      <c r="G152" s="30"/>
      <c r="AA152" s="2"/>
    </row>
    <row r="153" spans="7:27" x14ac:dyDescent="0.25">
      <c r="G153" s="30"/>
      <c r="AA153" s="2"/>
    </row>
    <row r="154" spans="7:27" x14ac:dyDescent="0.25">
      <c r="G154" s="30"/>
      <c r="AA154" s="2"/>
    </row>
    <row r="155" spans="7:27" x14ac:dyDescent="0.25">
      <c r="G155" s="30"/>
      <c r="AA155" s="2"/>
    </row>
    <row r="156" spans="7:27" x14ac:dyDescent="0.25">
      <c r="G156" s="30"/>
      <c r="AA156" s="2"/>
    </row>
    <row r="157" spans="7:27" x14ac:dyDescent="0.25">
      <c r="G157" s="30"/>
      <c r="AA157" s="2"/>
    </row>
    <row r="158" spans="7:27" x14ac:dyDescent="0.25">
      <c r="G158" s="30"/>
      <c r="AA158" s="2"/>
    </row>
    <row r="159" spans="7:27" x14ac:dyDescent="0.25">
      <c r="G159" s="30"/>
      <c r="AA159" s="2"/>
    </row>
    <row r="160" spans="7:27" x14ac:dyDescent="0.25">
      <c r="G160" s="30"/>
      <c r="AA160" s="2"/>
    </row>
    <row r="161" spans="7:27" x14ac:dyDescent="0.25">
      <c r="G161" s="30"/>
      <c r="AA161" s="2"/>
    </row>
    <row r="162" spans="7:27" x14ac:dyDescent="0.25">
      <c r="G162" s="30"/>
      <c r="AA162" s="2"/>
    </row>
    <row r="163" spans="7:27" x14ac:dyDescent="0.25">
      <c r="G163" s="30"/>
      <c r="AA163" s="2"/>
    </row>
    <row r="164" spans="7:27" x14ac:dyDescent="0.25">
      <c r="G164" s="30"/>
      <c r="AA164" s="2"/>
    </row>
    <row r="165" spans="7:27" x14ac:dyDescent="0.25">
      <c r="G165" s="30"/>
      <c r="AA165" s="2"/>
    </row>
    <row r="166" spans="7:27" x14ac:dyDescent="0.25">
      <c r="G166" s="30"/>
      <c r="AA166" s="2"/>
    </row>
    <row r="167" spans="7:27" x14ac:dyDescent="0.25">
      <c r="G167" s="30"/>
      <c r="AA167" s="2"/>
    </row>
    <row r="168" spans="7:27" x14ac:dyDescent="0.25">
      <c r="G168" s="30"/>
      <c r="AA168" s="2"/>
    </row>
    <row r="169" spans="7:27" x14ac:dyDescent="0.25">
      <c r="G169" s="30"/>
      <c r="AA169" s="2"/>
    </row>
    <row r="170" spans="7:27" x14ac:dyDescent="0.25">
      <c r="G170" s="30"/>
      <c r="AA170" s="2"/>
    </row>
    <row r="171" spans="7:27" x14ac:dyDescent="0.25">
      <c r="G171" s="30"/>
      <c r="AA171" s="2"/>
    </row>
    <row r="172" spans="7:27" x14ac:dyDescent="0.25">
      <c r="G172" s="30"/>
      <c r="AA172" s="2"/>
    </row>
    <row r="173" spans="7:27" x14ac:dyDescent="0.25">
      <c r="G173" s="30"/>
      <c r="AA173" s="2"/>
    </row>
    <row r="174" spans="7:27" x14ac:dyDescent="0.25">
      <c r="G174" s="30"/>
      <c r="AA174" s="2"/>
    </row>
    <row r="175" spans="7:27" x14ac:dyDescent="0.25">
      <c r="G175" s="30"/>
      <c r="AA175" s="2"/>
    </row>
    <row r="176" spans="7:27" x14ac:dyDescent="0.25">
      <c r="G176" s="30"/>
      <c r="AA176" s="2"/>
    </row>
    <row r="177" spans="7:27" x14ac:dyDescent="0.25">
      <c r="G177" s="30"/>
      <c r="AA177" s="2"/>
    </row>
    <row r="178" spans="7:27" x14ac:dyDescent="0.25">
      <c r="G178" s="30"/>
      <c r="AA178" s="2"/>
    </row>
    <row r="179" spans="7:27" x14ac:dyDescent="0.25">
      <c r="G179" s="30"/>
      <c r="AA179" s="2"/>
    </row>
    <row r="180" spans="7:27" x14ac:dyDescent="0.25">
      <c r="G180" s="30"/>
      <c r="AA180" s="2"/>
    </row>
    <row r="181" spans="7:27" x14ac:dyDescent="0.25">
      <c r="G181" s="30"/>
      <c r="AA181" s="2"/>
    </row>
    <row r="182" spans="7:27" ht="15" customHeight="1" x14ac:dyDescent="0.25">
      <c r="G182" s="30"/>
      <c r="AA182" s="2"/>
    </row>
    <row r="183" spans="7:27" ht="15" customHeight="1" x14ac:dyDescent="0.25">
      <c r="G183" s="30"/>
      <c r="AA183" s="2"/>
    </row>
    <row r="184" spans="7:27" ht="15" customHeight="1" x14ac:dyDescent="0.25">
      <c r="G184" s="30"/>
      <c r="AA184" s="2"/>
    </row>
    <row r="185" spans="7:27" ht="15" customHeight="1" x14ac:dyDescent="0.25">
      <c r="G185" s="30"/>
      <c r="AA185" s="2"/>
    </row>
    <row r="186" spans="7:27" ht="15" customHeight="1" x14ac:dyDescent="0.25">
      <c r="G186" s="30"/>
      <c r="AA186" s="2"/>
    </row>
    <row r="187" spans="7:27" ht="15" customHeight="1" x14ac:dyDescent="0.25">
      <c r="G187" s="30"/>
      <c r="AA187" s="2"/>
    </row>
    <row r="188" spans="7:27" x14ac:dyDescent="0.25">
      <c r="G188" s="30"/>
      <c r="AA188" s="2"/>
    </row>
    <row r="189" spans="7:27" ht="15" customHeight="1" x14ac:dyDescent="0.25">
      <c r="G189" s="30"/>
      <c r="AA189" s="2"/>
    </row>
    <row r="190" spans="7:27" x14ac:dyDescent="0.25">
      <c r="G190" s="30"/>
      <c r="AA190" s="2"/>
    </row>
    <row r="191" spans="7:27" x14ac:dyDescent="0.25">
      <c r="G191" s="30"/>
      <c r="AA191" s="2"/>
    </row>
    <row r="192" spans="7:27" x14ac:dyDescent="0.25">
      <c r="G192" s="30"/>
      <c r="AA192" s="2"/>
    </row>
    <row r="193" spans="7:27" x14ac:dyDescent="0.25">
      <c r="G193" s="30"/>
      <c r="AA193" s="2"/>
    </row>
    <row r="194" spans="7:27" x14ac:dyDescent="0.25">
      <c r="G194" s="30"/>
      <c r="AA194" s="2"/>
    </row>
    <row r="195" spans="7:27" x14ac:dyDescent="0.25">
      <c r="G195" s="30"/>
      <c r="AA195" s="2"/>
    </row>
    <row r="196" spans="7:27" x14ac:dyDescent="0.25">
      <c r="G196" s="30"/>
      <c r="AA196" s="2"/>
    </row>
    <row r="197" spans="7:27" x14ac:dyDescent="0.25">
      <c r="G197" s="30"/>
      <c r="AA197" s="2"/>
    </row>
    <row r="198" spans="7:27" x14ac:dyDescent="0.25">
      <c r="G198" s="30"/>
      <c r="AA198" s="2"/>
    </row>
    <row r="199" spans="7:27" x14ac:dyDescent="0.25">
      <c r="G199" s="30"/>
      <c r="AA199" s="2"/>
    </row>
    <row r="200" spans="7:27" x14ac:dyDescent="0.25">
      <c r="G200" s="30"/>
      <c r="AA200" s="2"/>
    </row>
    <row r="201" spans="7:27" x14ac:dyDescent="0.25">
      <c r="G201" s="30"/>
      <c r="AA201" s="2"/>
    </row>
    <row r="202" spans="7:27" x14ac:dyDescent="0.25">
      <c r="G202" s="30"/>
      <c r="AA202" s="2"/>
    </row>
    <row r="203" spans="7:27" x14ac:dyDescent="0.25">
      <c r="G203" s="30"/>
      <c r="AA203" s="2"/>
    </row>
    <row r="204" spans="7:27" x14ac:dyDescent="0.25">
      <c r="G204" s="30"/>
      <c r="AA204" s="2"/>
    </row>
    <row r="205" spans="7:27" x14ac:dyDescent="0.25">
      <c r="G205" s="30"/>
      <c r="AA205" s="2"/>
    </row>
    <row r="206" spans="7:27" x14ac:dyDescent="0.25">
      <c r="G206" s="30"/>
      <c r="AA206" s="2"/>
    </row>
    <row r="207" spans="7:27" x14ac:dyDescent="0.25">
      <c r="G207" s="30"/>
      <c r="AA207" s="2"/>
    </row>
    <row r="208" spans="7:27" x14ac:dyDescent="0.25">
      <c r="G208" s="30"/>
      <c r="AA208" s="2"/>
    </row>
    <row r="209" spans="7:27" x14ac:dyDescent="0.25">
      <c r="G209" s="30"/>
      <c r="AA209" s="2"/>
    </row>
    <row r="210" spans="7:27" x14ac:dyDescent="0.25">
      <c r="G210" s="30"/>
      <c r="AA210" s="2"/>
    </row>
    <row r="211" spans="7:27" x14ac:dyDescent="0.25">
      <c r="G211" s="30"/>
      <c r="AA211" s="2"/>
    </row>
    <row r="212" spans="7:27" x14ac:dyDescent="0.25">
      <c r="G212" s="30"/>
      <c r="AA212" s="2"/>
    </row>
    <row r="213" spans="7:27" x14ac:dyDescent="0.25">
      <c r="G213" s="30"/>
      <c r="AA213" s="2"/>
    </row>
    <row r="214" spans="7:27" x14ac:dyDescent="0.25">
      <c r="G214" s="30"/>
      <c r="AA214" s="2"/>
    </row>
    <row r="215" spans="7:27" x14ac:dyDescent="0.25">
      <c r="G215" s="30"/>
      <c r="AA215" s="2"/>
    </row>
    <row r="216" spans="7:27" x14ac:dyDescent="0.25">
      <c r="G216" s="30"/>
      <c r="AA216" s="2"/>
    </row>
    <row r="217" spans="7:27" x14ac:dyDescent="0.25">
      <c r="G217" s="30"/>
      <c r="AA217" s="2"/>
    </row>
    <row r="218" spans="7:27" x14ac:dyDescent="0.25">
      <c r="G218" s="30"/>
      <c r="AA218" s="2"/>
    </row>
    <row r="219" spans="7:27" x14ac:dyDescent="0.25">
      <c r="G219" s="30"/>
      <c r="AA219" s="2"/>
    </row>
    <row r="220" spans="7:27" x14ac:dyDescent="0.25">
      <c r="G220" s="30"/>
      <c r="AA220" s="2"/>
    </row>
    <row r="221" spans="7:27" x14ac:dyDescent="0.25">
      <c r="G221" s="30"/>
      <c r="AA221" s="2"/>
    </row>
    <row r="222" spans="7:27" x14ac:dyDescent="0.25">
      <c r="G222" s="30"/>
      <c r="AA222" s="2"/>
    </row>
    <row r="223" spans="7:27" x14ac:dyDescent="0.25">
      <c r="G223" s="30"/>
      <c r="AA223" s="2"/>
    </row>
    <row r="224" spans="7:27" x14ac:dyDescent="0.25">
      <c r="G224" s="30"/>
      <c r="AA224" s="2"/>
    </row>
    <row r="225" spans="7:27" x14ac:dyDescent="0.25">
      <c r="G225" s="30"/>
      <c r="AA225" s="2"/>
    </row>
    <row r="226" spans="7:27" x14ac:dyDescent="0.25">
      <c r="G226" s="30"/>
      <c r="AA226" s="2"/>
    </row>
    <row r="227" spans="7:27" ht="15" customHeight="1" x14ac:dyDescent="0.25">
      <c r="G227" s="30"/>
      <c r="AA227" s="2"/>
    </row>
    <row r="228" spans="7:27" ht="15" customHeight="1" x14ac:dyDescent="0.25">
      <c r="G228" s="30"/>
      <c r="AA228" s="2"/>
    </row>
    <row r="229" spans="7:27" ht="15" customHeight="1" x14ac:dyDescent="0.25">
      <c r="G229" s="30"/>
      <c r="AA229" s="2"/>
    </row>
    <row r="230" spans="7:27" ht="15" customHeight="1" x14ac:dyDescent="0.25">
      <c r="G230" s="30"/>
      <c r="AA230" s="2"/>
    </row>
    <row r="231" spans="7:27" ht="15" customHeight="1" x14ac:dyDescent="0.25">
      <c r="G231" s="30"/>
      <c r="AA231" s="2"/>
    </row>
    <row r="232" spans="7:27" ht="15" customHeight="1" x14ac:dyDescent="0.25">
      <c r="G232" s="30"/>
      <c r="AA232" s="2"/>
    </row>
    <row r="233" spans="7:27" x14ac:dyDescent="0.25">
      <c r="G233" s="30"/>
      <c r="AA233" s="2"/>
    </row>
    <row r="234" spans="7:27" ht="15" customHeight="1" x14ac:dyDescent="0.25">
      <c r="G234" s="30"/>
      <c r="AA234" s="2"/>
    </row>
    <row r="235" spans="7:27" x14ac:dyDescent="0.25">
      <c r="G235" s="30"/>
      <c r="AA235" s="2"/>
    </row>
    <row r="236" spans="7:27" x14ac:dyDescent="0.25">
      <c r="G236" s="30"/>
      <c r="AA236" s="2"/>
    </row>
    <row r="237" spans="7:27" x14ac:dyDescent="0.25">
      <c r="G237" s="30"/>
      <c r="AA237" s="2"/>
    </row>
    <row r="238" spans="7:27" x14ac:dyDescent="0.25">
      <c r="G238" s="30"/>
      <c r="AA238" s="2"/>
    </row>
    <row r="239" spans="7:27" x14ac:dyDescent="0.25">
      <c r="G239" s="30"/>
      <c r="AA239" s="2"/>
    </row>
    <row r="240" spans="7:27" x14ac:dyDescent="0.25">
      <c r="G240" s="30"/>
      <c r="AA240" s="2"/>
    </row>
    <row r="241" spans="7:27" x14ac:dyDescent="0.25">
      <c r="G241" s="30"/>
      <c r="AA241" s="2"/>
    </row>
    <row r="242" spans="7:27" x14ac:dyDescent="0.25">
      <c r="G242" s="30"/>
      <c r="AA242" s="2"/>
    </row>
    <row r="243" spans="7:27" x14ac:dyDescent="0.25">
      <c r="G243" s="30"/>
      <c r="AA243" s="2"/>
    </row>
    <row r="244" spans="7:27" x14ac:dyDescent="0.25">
      <c r="G244" s="30"/>
      <c r="AA244" s="2"/>
    </row>
    <row r="245" spans="7:27" x14ac:dyDescent="0.25">
      <c r="G245" s="30"/>
      <c r="AA245" s="2"/>
    </row>
    <row r="246" spans="7:27" x14ac:dyDescent="0.25">
      <c r="G246" s="30"/>
      <c r="AA246" s="2"/>
    </row>
    <row r="247" spans="7:27" x14ac:dyDescent="0.25">
      <c r="G247" s="30"/>
      <c r="AA247" s="2"/>
    </row>
    <row r="248" spans="7:27" x14ac:dyDescent="0.25">
      <c r="G248" s="30"/>
      <c r="AA248" s="2"/>
    </row>
    <row r="249" spans="7:27" x14ac:dyDescent="0.25">
      <c r="G249" s="30"/>
      <c r="AA249" s="2"/>
    </row>
    <row r="250" spans="7:27" x14ac:dyDescent="0.25">
      <c r="G250" s="30"/>
      <c r="AA250" s="2"/>
    </row>
    <row r="251" spans="7:27" x14ac:dyDescent="0.25">
      <c r="G251" s="30"/>
      <c r="AA251" s="2"/>
    </row>
    <row r="252" spans="7:27" x14ac:dyDescent="0.25">
      <c r="G252" s="30"/>
      <c r="AA252" s="2"/>
    </row>
    <row r="253" spans="7:27" x14ac:dyDescent="0.25">
      <c r="G253" s="30"/>
      <c r="AA253" s="2"/>
    </row>
    <row r="254" spans="7:27" x14ac:dyDescent="0.25">
      <c r="G254" s="30"/>
      <c r="AA254" s="2"/>
    </row>
    <row r="255" spans="7:27" x14ac:dyDescent="0.25">
      <c r="G255" s="30"/>
      <c r="AA255" s="2"/>
    </row>
    <row r="256" spans="7:27" x14ac:dyDescent="0.25">
      <c r="G256" s="30"/>
      <c r="AA256" s="2"/>
    </row>
    <row r="257" spans="7:27" x14ac:dyDescent="0.25">
      <c r="G257" s="30"/>
      <c r="AA257" s="2"/>
    </row>
    <row r="258" spans="7:27" x14ac:dyDescent="0.25">
      <c r="G258" s="30"/>
      <c r="AA258" s="2"/>
    </row>
    <row r="259" spans="7:27" x14ac:dyDescent="0.25">
      <c r="G259" s="30"/>
      <c r="AA259" s="2"/>
    </row>
    <row r="260" spans="7:27" x14ac:dyDescent="0.25">
      <c r="G260" s="30"/>
      <c r="AA260" s="2"/>
    </row>
    <row r="261" spans="7:27" x14ac:dyDescent="0.25">
      <c r="G261" s="30"/>
      <c r="AA261" s="2"/>
    </row>
    <row r="262" spans="7:27" x14ac:dyDescent="0.25">
      <c r="G262" s="30"/>
      <c r="AA262" s="2"/>
    </row>
    <row r="263" spans="7:27" x14ac:dyDescent="0.25">
      <c r="G263" s="30"/>
      <c r="AA263" s="2"/>
    </row>
    <row r="264" spans="7:27" x14ac:dyDescent="0.25">
      <c r="G264" s="30"/>
      <c r="AA264" s="2"/>
    </row>
    <row r="265" spans="7:27" x14ac:dyDescent="0.25">
      <c r="G265" s="30"/>
      <c r="AA265" s="2"/>
    </row>
    <row r="266" spans="7:27" x14ac:dyDescent="0.25">
      <c r="G266" s="30"/>
      <c r="AA266" s="2"/>
    </row>
    <row r="267" spans="7:27" x14ac:dyDescent="0.25">
      <c r="G267" s="30"/>
      <c r="AA267" s="2"/>
    </row>
    <row r="268" spans="7:27" x14ac:dyDescent="0.25">
      <c r="G268" s="30"/>
      <c r="AA268" s="2"/>
    </row>
    <row r="269" spans="7:27" x14ac:dyDescent="0.25">
      <c r="G269" s="30"/>
      <c r="AA269" s="2"/>
    </row>
    <row r="270" spans="7:27" x14ac:dyDescent="0.25">
      <c r="G270" s="30"/>
      <c r="AA270" s="2"/>
    </row>
    <row r="271" spans="7:27" x14ac:dyDescent="0.25">
      <c r="G271" s="30"/>
      <c r="AA271" s="2"/>
    </row>
    <row r="272" spans="7:27" x14ac:dyDescent="0.25">
      <c r="G272" s="30"/>
      <c r="AA272" s="2"/>
    </row>
    <row r="273" spans="7:27" x14ac:dyDescent="0.25">
      <c r="G273" s="30"/>
      <c r="AA273" s="2"/>
    </row>
  </sheetData>
  <mergeCells count="12">
    <mergeCell ref="B11:R49"/>
    <mergeCell ref="A54:A92"/>
    <mergeCell ref="B54:R92"/>
    <mergeCell ref="B97:R135"/>
    <mergeCell ref="A99:A131"/>
    <mergeCell ref="E1:O3"/>
    <mergeCell ref="E4:E5"/>
    <mergeCell ref="F4:O5"/>
    <mergeCell ref="E6:E7"/>
    <mergeCell ref="F6:O7"/>
    <mergeCell ref="E8:E9"/>
    <mergeCell ref="F8:O9"/>
  </mergeCells>
  <pageMargins left="0.19685039370078741" right="0.19685039370078741" top="0.19685039370078741" bottom="0.19685039370078741" header="0" footer="0.35433070866141736"/>
  <pageSetup paperSize="9" scale="39" fitToHeight="3" orientation="portrait" horizontalDpi="1200" verticalDpi="1200" r:id="rId1"/>
  <headerFooter alignWithMargins="0">
    <oddFooter xml:space="preserve">&amp;C&amp;18Tooshop | M. Santos | &amp;D&amp;R&amp;18Página &amp;P de &amp;N   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273"/>
  <sheetViews>
    <sheetView view="pageBreakPreview" zoomScale="37" zoomScaleNormal="70" zoomScaleSheetLayoutView="37" workbookViewId="0">
      <selection activeCell="T57" sqref="T57"/>
    </sheetView>
  </sheetViews>
  <sheetFormatPr defaultRowHeight="15" x14ac:dyDescent="0.25"/>
  <cols>
    <col min="1" max="1" width="4.7109375" style="2" customWidth="1"/>
    <col min="2" max="2" width="9.140625" style="2"/>
    <col min="3" max="4" width="15.7109375" style="2" customWidth="1"/>
    <col min="5" max="5" width="30.7109375" style="2" customWidth="1"/>
    <col min="6" max="6" width="18.7109375" style="2" customWidth="1"/>
    <col min="7" max="13" width="9.140625" style="2"/>
    <col min="14" max="14" width="25.7109375" style="2" customWidth="1"/>
    <col min="15" max="15" width="30.7109375" style="2" customWidth="1"/>
    <col min="16" max="17" width="15.7109375" style="2" customWidth="1"/>
    <col min="18" max="18" width="9.140625" style="2" customWidth="1"/>
    <col min="19" max="19" width="4.5703125" style="2" customWidth="1"/>
    <col min="20" max="20" width="50.140625" style="2" customWidth="1"/>
    <col min="21" max="21" width="6.85546875" style="2" customWidth="1"/>
    <col min="22" max="22" width="6.5703125" style="2" customWidth="1"/>
    <col min="23" max="23" width="6.7109375" style="2" customWidth="1"/>
    <col min="24" max="24" width="7.28515625" style="2" customWidth="1"/>
    <col min="25" max="25" width="9.140625" style="2"/>
    <col min="26" max="26" width="39" style="2" bestFit="1" customWidth="1"/>
    <col min="27" max="27" width="13.5703125" style="30" bestFit="1" customWidth="1"/>
    <col min="28" max="28" width="10.42578125" style="2" bestFit="1" customWidth="1"/>
    <col min="29" max="29" width="19.42578125" style="2" bestFit="1" customWidth="1"/>
    <col min="30" max="30" width="5.42578125" style="2" bestFit="1" customWidth="1"/>
    <col min="31" max="16384" width="9.140625" style="2"/>
  </cols>
  <sheetData>
    <row r="1" spans="1:30" ht="15" customHeight="1" x14ac:dyDescent="0.25">
      <c r="A1" s="13"/>
      <c r="B1" s="3"/>
      <c r="C1" s="3"/>
      <c r="D1" s="3"/>
      <c r="E1" s="116" t="s">
        <v>3</v>
      </c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3"/>
      <c r="Q1" s="3"/>
      <c r="R1" s="3"/>
      <c r="S1" s="4"/>
      <c r="T1" s="10"/>
      <c r="Z1" s="49" t="s">
        <v>4</v>
      </c>
      <c r="AA1" s="88"/>
      <c r="AB1" s="102"/>
      <c r="AC1" s="103"/>
      <c r="AD1" s="104"/>
    </row>
    <row r="2" spans="1:30" ht="15" customHeight="1" x14ac:dyDescent="0.25">
      <c r="A2" s="14"/>
      <c r="B2" s="56"/>
      <c r="C2" s="56"/>
      <c r="D2" s="56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58"/>
      <c r="Q2" s="56"/>
      <c r="R2" s="56"/>
      <c r="S2" s="6"/>
      <c r="Z2" s="50" t="s">
        <v>477</v>
      </c>
      <c r="AA2" s="89">
        <v>14</v>
      </c>
      <c r="AB2" s="95"/>
      <c r="AC2" s="95"/>
      <c r="AD2" s="105"/>
    </row>
    <row r="3" spans="1:30" ht="15" customHeight="1" x14ac:dyDescent="0.25">
      <c r="A3" s="14"/>
      <c r="B3" s="56"/>
      <c r="C3" s="56"/>
      <c r="D3" s="56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58"/>
      <c r="Q3" s="56"/>
      <c r="R3" s="56"/>
      <c r="S3" s="6"/>
      <c r="Z3" s="50" t="s">
        <v>476</v>
      </c>
      <c r="AA3" s="89">
        <v>6</v>
      </c>
      <c r="AB3" s="95"/>
      <c r="AC3" s="95"/>
      <c r="AD3" s="105"/>
    </row>
    <row r="4" spans="1:30" ht="15" customHeight="1" x14ac:dyDescent="0.25">
      <c r="A4" s="14"/>
      <c r="B4" s="56"/>
      <c r="C4" s="56"/>
      <c r="D4" s="56"/>
      <c r="E4" s="129" t="str">
        <f>"Projeto: "</f>
        <v xml:space="preserve">Projeto: </v>
      </c>
      <c r="F4" s="131" t="str">
        <f>T7</f>
        <v>VW216 - TCROSS</v>
      </c>
      <c r="G4" s="131"/>
      <c r="H4" s="131"/>
      <c r="I4" s="131"/>
      <c r="J4" s="131"/>
      <c r="K4" s="131"/>
      <c r="L4" s="131"/>
      <c r="M4" s="131"/>
      <c r="N4" s="131"/>
      <c r="O4" s="132"/>
      <c r="P4" s="58"/>
      <c r="Q4" s="56"/>
      <c r="R4" s="56"/>
      <c r="S4" s="6"/>
      <c r="Z4" s="50" t="s">
        <v>218</v>
      </c>
      <c r="AA4" s="89"/>
      <c r="AB4" s="95"/>
      <c r="AC4" s="95"/>
      <c r="AD4" s="105"/>
    </row>
    <row r="5" spans="1:30" ht="15" customHeight="1" x14ac:dyDescent="0.25">
      <c r="A5" s="80"/>
      <c r="B5" s="54"/>
      <c r="C5" s="55"/>
      <c r="D5" s="55"/>
      <c r="E5" s="130"/>
      <c r="F5" s="133"/>
      <c r="G5" s="133"/>
      <c r="H5" s="133"/>
      <c r="I5" s="133"/>
      <c r="J5" s="133"/>
      <c r="K5" s="133"/>
      <c r="L5" s="133"/>
      <c r="M5" s="133"/>
      <c r="N5" s="133"/>
      <c r="O5" s="134"/>
      <c r="P5" s="58"/>
      <c r="Q5" s="55"/>
      <c r="R5" s="55"/>
      <c r="S5" s="6"/>
      <c r="Z5" s="50" t="s">
        <v>475</v>
      </c>
      <c r="AA5" s="89">
        <v>4</v>
      </c>
      <c r="AB5" s="95"/>
      <c r="AC5" s="95"/>
      <c r="AD5" s="105"/>
    </row>
    <row r="6" spans="1:30" ht="15" customHeight="1" x14ac:dyDescent="0.25">
      <c r="A6" s="80"/>
      <c r="B6" s="54"/>
      <c r="C6" s="55"/>
      <c r="D6" s="55"/>
      <c r="E6" s="135" t="str">
        <f>"Peça: "</f>
        <v xml:space="preserve">Peça: </v>
      </c>
      <c r="F6" s="136" t="str">
        <f>T8</f>
        <v>2GM.823.105</v>
      </c>
      <c r="G6" s="136"/>
      <c r="H6" s="136"/>
      <c r="I6" s="136"/>
      <c r="J6" s="136"/>
      <c r="K6" s="136"/>
      <c r="L6" s="136"/>
      <c r="M6" s="136"/>
      <c r="N6" s="136"/>
      <c r="O6" s="137"/>
      <c r="P6" s="58"/>
      <c r="Q6" s="55"/>
      <c r="R6" s="55"/>
      <c r="S6" s="6"/>
      <c r="T6" s="17" t="s">
        <v>369</v>
      </c>
      <c r="Z6" s="50" t="s">
        <v>249</v>
      </c>
      <c r="AA6" s="89"/>
      <c r="AB6" s="95"/>
      <c r="AC6" s="95"/>
      <c r="AD6" s="105"/>
    </row>
    <row r="7" spans="1:30" ht="15" customHeight="1" x14ac:dyDescent="0.25">
      <c r="A7" s="80"/>
      <c r="B7" s="54"/>
      <c r="C7" s="55"/>
      <c r="D7" s="55"/>
      <c r="E7" s="130"/>
      <c r="F7" s="133"/>
      <c r="G7" s="133"/>
      <c r="H7" s="133"/>
      <c r="I7" s="133"/>
      <c r="J7" s="133"/>
      <c r="K7" s="133"/>
      <c r="L7" s="133"/>
      <c r="M7" s="133"/>
      <c r="N7" s="133"/>
      <c r="O7" s="134"/>
      <c r="P7" s="55"/>
      <c r="Q7" s="55"/>
      <c r="R7" s="55"/>
      <c r="S7" s="6"/>
      <c r="T7" s="53" t="s">
        <v>135</v>
      </c>
      <c r="Z7" s="50" t="s">
        <v>2</v>
      </c>
      <c r="AA7" s="89">
        <f>SUM(AA2:AA6)</f>
        <v>24</v>
      </c>
      <c r="AB7" s="95">
        <f>SUM(AB2:AB6)</f>
        <v>0</v>
      </c>
      <c r="AC7" s="95"/>
      <c r="AD7" s="105"/>
    </row>
    <row r="8" spans="1:30" ht="15" customHeight="1" x14ac:dyDescent="0.25">
      <c r="A8" s="15"/>
      <c r="E8" s="135" t="str">
        <f>"Ano: "</f>
        <v xml:space="preserve">Ano: </v>
      </c>
      <c r="F8" s="136">
        <f>T9</f>
        <v>2017</v>
      </c>
      <c r="G8" s="136"/>
      <c r="H8" s="136"/>
      <c r="I8" s="136"/>
      <c r="J8" s="136"/>
      <c r="K8" s="136"/>
      <c r="L8" s="136"/>
      <c r="M8" s="136"/>
      <c r="N8" s="136"/>
      <c r="O8" s="137"/>
      <c r="S8" s="6"/>
      <c r="T8" s="2" t="s">
        <v>136</v>
      </c>
      <c r="Z8" s="48" t="s">
        <v>5</v>
      </c>
      <c r="AA8" s="90"/>
      <c r="AB8" s="106"/>
      <c r="AC8" s="106"/>
      <c r="AD8" s="107"/>
    </row>
    <row r="9" spans="1:30" ht="15" customHeight="1" x14ac:dyDescent="0.25">
      <c r="A9" s="81"/>
      <c r="B9" s="57"/>
      <c r="C9" s="57"/>
      <c r="D9" s="57"/>
      <c r="E9" s="130"/>
      <c r="F9" s="133"/>
      <c r="G9" s="133"/>
      <c r="H9" s="133"/>
      <c r="I9" s="133"/>
      <c r="J9" s="133"/>
      <c r="K9" s="133"/>
      <c r="L9" s="133"/>
      <c r="M9" s="133"/>
      <c r="N9" s="133"/>
      <c r="O9" s="134"/>
      <c r="P9" s="57"/>
      <c r="Q9" s="57"/>
      <c r="R9" s="57"/>
      <c r="S9" s="6"/>
      <c r="T9" s="2">
        <v>2017</v>
      </c>
      <c r="Z9" s="44" t="s">
        <v>8</v>
      </c>
      <c r="AA9" s="91"/>
      <c r="AB9" s="108"/>
      <c r="AC9" s="108"/>
      <c r="AD9" s="109"/>
    </row>
    <row r="10" spans="1:30" x14ac:dyDescent="0.25">
      <c r="A10" s="81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6"/>
      <c r="Z10" s="44" t="s">
        <v>7</v>
      </c>
      <c r="AA10" s="91"/>
      <c r="AB10" s="108"/>
      <c r="AC10" s="108"/>
      <c r="AD10" s="109"/>
    </row>
    <row r="11" spans="1:30" ht="15" customHeight="1" x14ac:dyDescent="0.25">
      <c r="A11" s="81"/>
      <c r="B11" s="118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6"/>
      <c r="Z11" s="44" t="s">
        <v>41</v>
      </c>
      <c r="AA11" s="91"/>
      <c r="AB11" s="108"/>
      <c r="AC11" s="108"/>
      <c r="AD11" s="109"/>
    </row>
    <row r="12" spans="1:30" ht="15" customHeight="1" x14ac:dyDescent="0.25">
      <c r="A12" s="81"/>
      <c r="B12" s="118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6"/>
      <c r="Z12" s="44" t="s">
        <v>40</v>
      </c>
      <c r="AA12" s="91"/>
      <c r="AB12" s="108"/>
      <c r="AC12" s="108"/>
      <c r="AD12" s="109"/>
    </row>
    <row r="13" spans="1:30" ht="15" customHeight="1" x14ac:dyDescent="0.25">
      <c r="A13" s="81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6"/>
      <c r="T13" s="12"/>
      <c r="Z13" s="44" t="s">
        <v>1</v>
      </c>
      <c r="AA13" s="91"/>
      <c r="AB13" s="108"/>
      <c r="AC13" s="108"/>
      <c r="AD13" s="109"/>
    </row>
    <row r="14" spans="1:30" ht="15" customHeight="1" x14ac:dyDescent="0.25">
      <c r="A14" s="81"/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6"/>
      <c r="T14" s="11"/>
      <c r="Z14" s="96" t="s">
        <v>356</v>
      </c>
      <c r="AA14" s="94"/>
      <c r="AB14" s="110"/>
      <c r="AC14" s="110"/>
      <c r="AD14" s="111"/>
    </row>
    <row r="15" spans="1:30" ht="15" customHeight="1" x14ac:dyDescent="0.25">
      <c r="A15" s="81"/>
      <c r="B15" s="118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6"/>
      <c r="Z15" s="45" t="s">
        <v>353</v>
      </c>
      <c r="AA15" s="98"/>
      <c r="AB15" s="99"/>
      <c r="AC15" s="100"/>
      <c r="AD15" s="101"/>
    </row>
    <row r="16" spans="1:30" ht="15" customHeight="1" x14ac:dyDescent="0.25">
      <c r="A16" s="81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6"/>
      <c r="Z16" s="45" t="s">
        <v>185</v>
      </c>
      <c r="AA16" s="98"/>
      <c r="AB16" s="99"/>
      <c r="AC16" s="100"/>
      <c r="AD16" s="101"/>
    </row>
    <row r="17" spans="1:30" x14ac:dyDescent="0.25">
      <c r="A17" s="81"/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6"/>
      <c r="Z17" s="45" t="s">
        <v>210</v>
      </c>
      <c r="AA17" s="98"/>
      <c r="AB17" s="99"/>
      <c r="AC17" s="100"/>
      <c r="AD17" s="101"/>
    </row>
    <row r="18" spans="1:30" x14ac:dyDescent="0.25">
      <c r="A18" s="81"/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6"/>
      <c r="Z18" s="45" t="s">
        <v>354</v>
      </c>
      <c r="AA18" s="98"/>
      <c r="AB18" s="99"/>
      <c r="AC18" s="100"/>
      <c r="AD18" s="101"/>
    </row>
    <row r="19" spans="1:30" x14ac:dyDescent="0.25">
      <c r="A19" s="81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6"/>
      <c r="Z19" s="45" t="s">
        <v>46</v>
      </c>
      <c r="AA19" s="98"/>
      <c r="AB19" s="99"/>
      <c r="AC19" s="100"/>
      <c r="AD19" s="101">
        <v>9</v>
      </c>
    </row>
    <row r="20" spans="1:30" x14ac:dyDescent="0.25">
      <c r="A20" s="81"/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6"/>
      <c r="Z20" s="45" t="s">
        <v>204</v>
      </c>
      <c r="AA20" s="98"/>
      <c r="AB20" s="99"/>
      <c r="AC20" s="100"/>
      <c r="AD20" s="101"/>
    </row>
    <row r="21" spans="1:30" x14ac:dyDescent="0.25">
      <c r="A21" s="81"/>
      <c r="B21" s="118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6"/>
      <c r="Z21" s="45" t="s">
        <v>143</v>
      </c>
      <c r="AA21" s="98"/>
      <c r="AB21" s="99"/>
      <c r="AC21" s="100"/>
      <c r="AD21" s="101">
        <v>2</v>
      </c>
    </row>
    <row r="22" spans="1:30" x14ac:dyDescent="0.25">
      <c r="A22" s="81"/>
      <c r="B22" s="118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6"/>
      <c r="Z22" s="45" t="s">
        <v>147</v>
      </c>
      <c r="AA22" s="98"/>
      <c r="AB22" s="99"/>
      <c r="AC22" s="100"/>
      <c r="AD22" s="101"/>
    </row>
    <row r="23" spans="1:30" x14ac:dyDescent="0.25">
      <c r="A23" s="81"/>
      <c r="B23" s="118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6"/>
      <c r="Z23" s="45" t="s">
        <v>57</v>
      </c>
      <c r="AA23" s="98"/>
      <c r="AB23" s="99"/>
      <c r="AC23" s="100"/>
      <c r="AD23" s="101">
        <v>2</v>
      </c>
    </row>
    <row r="24" spans="1:30" x14ac:dyDescent="0.25">
      <c r="A24" s="81"/>
      <c r="B24" s="11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6"/>
      <c r="Z24" s="46" t="s">
        <v>52</v>
      </c>
      <c r="AA24" s="98"/>
      <c r="AB24" s="99"/>
      <c r="AC24" s="100"/>
      <c r="AD24" s="101">
        <v>11</v>
      </c>
    </row>
    <row r="25" spans="1:30" x14ac:dyDescent="0.25">
      <c r="A25" s="81"/>
      <c r="B25" s="118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6"/>
      <c r="Z25" s="46"/>
      <c r="AA25" s="98"/>
      <c r="AB25" s="99"/>
      <c r="AC25" s="100"/>
      <c r="AD25" s="101"/>
    </row>
    <row r="26" spans="1:30" x14ac:dyDescent="0.25">
      <c r="A26" s="81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6"/>
      <c r="Z26" s="46"/>
      <c r="AA26" s="92"/>
      <c r="AB26" s="100"/>
      <c r="AC26" s="100"/>
      <c r="AD26" s="101"/>
    </row>
    <row r="27" spans="1:30" x14ac:dyDescent="0.25">
      <c r="A27" s="81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6"/>
      <c r="Z27" s="46"/>
      <c r="AA27" s="92"/>
      <c r="AB27" s="100"/>
      <c r="AC27" s="100"/>
      <c r="AD27" s="101"/>
    </row>
    <row r="28" spans="1:30" x14ac:dyDescent="0.25">
      <c r="A28" s="81"/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6"/>
      <c r="Z28" s="97"/>
      <c r="AA28" s="92" t="s">
        <v>8</v>
      </c>
      <c r="AB28" s="100" t="s">
        <v>7</v>
      </c>
      <c r="AC28" s="100" t="s">
        <v>41</v>
      </c>
      <c r="AD28" s="101" t="s">
        <v>479</v>
      </c>
    </row>
    <row r="29" spans="1:30" x14ac:dyDescent="0.25">
      <c r="A29" s="81"/>
      <c r="B29" s="118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6"/>
      <c r="Z29" s="46"/>
      <c r="AA29" s="92"/>
      <c r="AB29" s="100"/>
      <c r="AC29" s="100"/>
      <c r="AD29" s="101"/>
    </row>
    <row r="30" spans="1:30" x14ac:dyDescent="0.25">
      <c r="A30" s="81"/>
      <c r="B30" s="118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6"/>
      <c r="Z30" s="46"/>
      <c r="AA30" s="92"/>
      <c r="AB30" s="100"/>
      <c r="AC30" s="100"/>
      <c r="AD30" s="101"/>
    </row>
    <row r="31" spans="1:30" x14ac:dyDescent="0.25">
      <c r="A31" s="81"/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6"/>
      <c r="Z31" s="46"/>
      <c r="AA31" s="92"/>
      <c r="AB31" s="100"/>
      <c r="AC31" s="100"/>
      <c r="AD31" s="101"/>
    </row>
    <row r="32" spans="1:30" x14ac:dyDescent="0.25">
      <c r="A32" s="81"/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6"/>
      <c r="Z32" s="46"/>
      <c r="AA32" s="92"/>
      <c r="AB32" s="100"/>
      <c r="AC32" s="100"/>
      <c r="AD32" s="101"/>
    </row>
    <row r="33" spans="1:30" x14ac:dyDescent="0.25">
      <c r="A33" s="81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6"/>
      <c r="Z33" s="46"/>
      <c r="AA33" s="92"/>
      <c r="AB33" s="100"/>
      <c r="AC33" s="100"/>
      <c r="AD33" s="101"/>
    </row>
    <row r="34" spans="1:30" x14ac:dyDescent="0.25">
      <c r="A34" s="81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6"/>
      <c r="Z34" s="97"/>
      <c r="AA34" s="92"/>
      <c r="AB34" s="100"/>
      <c r="AC34" s="100"/>
      <c r="AD34" s="101"/>
    </row>
    <row r="35" spans="1:30" x14ac:dyDescent="0.25">
      <c r="A35" s="81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6"/>
      <c r="Z35" s="46"/>
      <c r="AA35" s="92"/>
      <c r="AB35" s="100"/>
      <c r="AC35" s="100"/>
      <c r="AD35" s="101"/>
    </row>
    <row r="36" spans="1:30" x14ac:dyDescent="0.25">
      <c r="A36" s="81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6"/>
      <c r="Z36" s="46"/>
      <c r="AA36" s="92"/>
      <c r="AB36" s="100"/>
      <c r="AC36" s="100"/>
      <c r="AD36" s="101"/>
    </row>
    <row r="37" spans="1:30" x14ac:dyDescent="0.25">
      <c r="A37" s="81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6"/>
      <c r="Z37" s="46"/>
      <c r="AA37" s="92"/>
      <c r="AB37" s="100"/>
      <c r="AC37" s="100"/>
      <c r="AD37" s="101"/>
    </row>
    <row r="38" spans="1:30" x14ac:dyDescent="0.25">
      <c r="A38" s="81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6"/>
      <c r="Z38" s="46"/>
      <c r="AA38" s="92"/>
      <c r="AB38" s="100"/>
      <c r="AC38" s="100"/>
      <c r="AD38" s="101"/>
    </row>
    <row r="39" spans="1:30" ht="15.75" thickBot="1" x14ac:dyDescent="0.3">
      <c r="A39" s="81"/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6"/>
      <c r="Z39" s="47"/>
      <c r="AA39" s="93"/>
      <c r="AB39" s="112"/>
      <c r="AC39" s="112"/>
      <c r="AD39" s="113"/>
    </row>
    <row r="40" spans="1:30" x14ac:dyDescent="0.25">
      <c r="A40" s="81"/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6"/>
    </row>
    <row r="41" spans="1:30" x14ac:dyDescent="0.25">
      <c r="A41" s="81"/>
      <c r="B41" s="118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6"/>
    </row>
    <row r="42" spans="1:30" x14ac:dyDescent="0.25">
      <c r="A42" s="5"/>
      <c r="B42" s="118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6"/>
    </row>
    <row r="43" spans="1:30" x14ac:dyDescent="0.25">
      <c r="A43" s="5"/>
      <c r="B43" s="118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6"/>
    </row>
    <row r="44" spans="1:30" x14ac:dyDescent="0.25">
      <c r="A44" s="5"/>
      <c r="B44" s="118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6"/>
    </row>
    <row r="45" spans="1:30" x14ac:dyDescent="0.25">
      <c r="A45" s="5"/>
      <c r="B45" s="118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8"/>
      <c r="Q45" s="118"/>
      <c r="R45" s="118"/>
      <c r="S45" s="6"/>
    </row>
    <row r="46" spans="1:30" x14ac:dyDescent="0.25">
      <c r="A46" s="15"/>
      <c r="B46" s="118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6"/>
    </row>
    <row r="47" spans="1:30" ht="15" customHeight="1" x14ac:dyDescent="0.25">
      <c r="A47" s="14"/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6"/>
    </row>
    <row r="48" spans="1:30" ht="15" customHeight="1" x14ac:dyDescent="0.25">
      <c r="A48" s="14"/>
      <c r="B48" s="118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6"/>
    </row>
    <row r="49" spans="1:19" ht="15" customHeight="1" x14ac:dyDescent="0.25">
      <c r="A49" s="14"/>
      <c r="B49" s="118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6"/>
    </row>
    <row r="50" spans="1:19" ht="15" customHeight="1" x14ac:dyDescent="0.25">
      <c r="A50" s="80"/>
      <c r="B50" s="54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6"/>
    </row>
    <row r="51" spans="1:19" ht="15" customHeight="1" x14ac:dyDescent="0.25">
      <c r="A51" s="80"/>
      <c r="B51" s="59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"/>
    </row>
    <row r="52" spans="1:19" ht="15" customHeight="1" x14ac:dyDescent="0.25">
      <c r="A52" s="80"/>
      <c r="B52" s="54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6"/>
    </row>
    <row r="53" spans="1:19" x14ac:dyDescent="0.25">
      <c r="A53" s="15"/>
      <c r="S53" s="6"/>
    </row>
    <row r="54" spans="1:19" ht="15" customHeight="1" x14ac:dyDescent="0.25">
      <c r="A54" s="127" t="s">
        <v>163</v>
      </c>
      <c r="B54" s="118"/>
      <c r="C54" s="118"/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6"/>
    </row>
    <row r="55" spans="1:19" x14ac:dyDescent="0.25">
      <c r="A55" s="127"/>
      <c r="B55" s="118"/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6"/>
    </row>
    <row r="56" spans="1:19" x14ac:dyDescent="0.25">
      <c r="A56" s="127"/>
      <c r="B56" s="118"/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6"/>
    </row>
    <row r="57" spans="1:19" x14ac:dyDescent="0.25">
      <c r="A57" s="127"/>
      <c r="B57" s="118"/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6"/>
    </row>
    <row r="58" spans="1:19" x14ac:dyDescent="0.25">
      <c r="A58" s="127"/>
      <c r="B58" s="118"/>
      <c r="C58" s="118"/>
      <c r="D58" s="118"/>
      <c r="E58" s="118"/>
      <c r="F58" s="118"/>
      <c r="G58" s="118"/>
      <c r="H58" s="118"/>
      <c r="I58" s="118"/>
      <c r="J58" s="118"/>
      <c r="K58" s="118"/>
      <c r="L58" s="118"/>
      <c r="M58" s="118"/>
      <c r="N58" s="118"/>
      <c r="O58" s="118"/>
      <c r="P58" s="118"/>
      <c r="Q58" s="118"/>
      <c r="R58" s="118"/>
      <c r="S58" s="6"/>
    </row>
    <row r="59" spans="1:19" x14ac:dyDescent="0.25">
      <c r="A59" s="127"/>
      <c r="B59" s="118"/>
      <c r="C59" s="118"/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6"/>
    </row>
    <row r="60" spans="1:19" x14ac:dyDescent="0.25">
      <c r="A60" s="127"/>
      <c r="B60" s="118"/>
      <c r="C60" s="118"/>
      <c r="D60" s="118"/>
      <c r="E60" s="118"/>
      <c r="F60" s="118"/>
      <c r="G60" s="118"/>
      <c r="H60" s="118"/>
      <c r="I60" s="118"/>
      <c r="J60" s="118"/>
      <c r="K60" s="118"/>
      <c r="L60" s="118"/>
      <c r="M60" s="118"/>
      <c r="N60" s="118"/>
      <c r="O60" s="118"/>
      <c r="P60" s="118"/>
      <c r="Q60" s="118"/>
      <c r="R60" s="118"/>
      <c r="S60" s="6"/>
    </row>
    <row r="61" spans="1:19" x14ac:dyDescent="0.25">
      <c r="A61" s="127"/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6"/>
    </row>
    <row r="62" spans="1:19" x14ac:dyDescent="0.25">
      <c r="A62" s="127"/>
      <c r="B62" s="118"/>
      <c r="C62" s="118"/>
      <c r="D62" s="118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6"/>
    </row>
    <row r="63" spans="1:19" x14ac:dyDescent="0.25">
      <c r="A63" s="127"/>
      <c r="B63" s="118"/>
      <c r="C63" s="118"/>
      <c r="D63" s="118"/>
      <c r="E63" s="118"/>
      <c r="F63" s="118"/>
      <c r="G63" s="118"/>
      <c r="H63" s="118"/>
      <c r="I63" s="118"/>
      <c r="J63" s="118"/>
      <c r="K63" s="118"/>
      <c r="L63" s="118"/>
      <c r="M63" s="118"/>
      <c r="N63" s="118"/>
      <c r="O63" s="118"/>
      <c r="P63" s="118"/>
      <c r="Q63" s="118"/>
      <c r="R63" s="118"/>
      <c r="S63" s="6"/>
    </row>
    <row r="64" spans="1:19" x14ac:dyDescent="0.25">
      <c r="A64" s="127"/>
      <c r="B64" s="118"/>
      <c r="C64" s="118"/>
      <c r="D64" s="118"/>
      <c r="E64" s="118"/>
      <c r="F64" s="118"/>
      <c r="G64" s="118"/>
      <c r="H64" s="118"/>
      <c r="I64" s="118"/>
      <c r="J64" s="118"/>
      <c r="K64" s="118"/>
      <c r="L64" s="118"/>
      <c r="M64" s="118"/>
      <c r="N64" s="118"/>
      <c r="O64" s="118"/>
      <c r="P64" s="118"/>
      <c r="Q64" s="118"/>
      <c r="R64" s="118"/>
      <c r="S64" s="6"/>
    </row>
    <row r="65" spans="1:19" x14ac:dyDescent="0.25">
      <c r="A65" s="127"/>
      <c r="B65" s="118"/>
      <c r="C65" s="118"/>
      <c r="D65" s="118"/>
      <c r="E65" s="118"/>
      <c r="F65" s="118"/>
      <c r="G65" s="118"/>
      <c r="H65" s="118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6"/>
    </row>
    <row r="66" spans="1:19" x14ac:dyDescent="0.25">
      <c r="A66" s="127"/>
      <c r="B66" s="118"/>
      <c r="C66" s="118"/>
      <c r="D66" s="118"/>
      <c r="E66" s="118"/>
      <c r="F66" s="118"/>
      <c r="G66" s="118"/>
      <c r="H66" s="118"/>
      <c r="I66" s="118"/>
      <c r="J66" s="118"/>
      <c r="K66" s="118"/>
      <c r="L66" s="118"/>
      <c r="M66" s="118"/>
      <c r="N66" s="118"/>
      <c r="O66" s="118"/>
      <c r="P66" s="118"/>
      <c r="Q66" s="118"/>
      <c r="R66" s="118"/>
      <c r="S66" s="6"/>
    </row>
    <row r="67" spans="1:19" x14ac:dyDescent="0.25">
      <c r="A67" s="127"/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6"/>
    </row>
    <row r="68" spans="1:19" x14ac:dyDescent="0.25">
      <c r="A68" s="127"/>
      <c r="B68" s="118"/>
      <c r="C68" s="118"/>
      <c r="D68" s="118"/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118"/>
      <c r="Q68" s="118"/>
      <c r="R68" s="118"/>
      <c r="S68" s="6"/>
    </row>
    <row r="69" spans="1:19" x14ac:dyDescent="0.25">
      <c r="A69" s="127"/>
      <c r="B69" s="118"/>
      <c r="C69" s="118"/>
      <c r="D69" s="118"/>
      <c r="E69" s="118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118"/>
      <c r="Q69" s="118"/>
      <c r="R69" s="118"/>
      <c r="S69" s="6"/>
    </row>
    <row r="70" spans="1:19" x14ac:dyDescent="0.25">
      <c r="A70" s="127"/>
      <c r="B70" s="118"/>
      <c r="C70" s="118"/>
      <c r="D70" s="118"/>
      <c r="E70" s="118"/>
      <c r="F70" s="118"/>
      <c r="G70" s="118"/>
      <c r="H70" s="118"/>
      <c r="I70" s="118"/>
      <c r="J70" s="118"/>
      <c r="K70" s="118"/>
      <c r="L70" s="118"/>
      <c r="M70" s="118"/>
      <c r="N70" s="118"/>
      <c r="O70" s="118"/>
      <c r="P70" s="118"/>
      <c r="Q70" s="118"/>
      <c r="R70" s="118"/>
      <c r="S70" s="6"/>
    </row>
    <row r="71" spans="1:19" x14ac:dyDescent="0.25">
      <c r="A71" s="127"/>
      <c r="B71" s="118"/>
      <c r="C71" s="118"/>
      <c r="D71" s="118"/>
      <c r="E71" s="118"/>
      <c r="F71" s="118"/>
      <c r="G71" s="118"/>
      <c r="H71" s="118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6"/>
    </row>
    <row r="72" spans="1:19" x14ac:dyDescent="0.25">
      <c r="A72" s="127"/>
      <c r="B72" s="118"/>
      <c r="C72" s="118"/>
      <c r="D72" s="118"/>
      <c r="E72" s="118"/>
      <c r="F72" s="118"/>
      <c r="G72" s="118"/>
      <c r="H72" s="118"/>
      <c r="I72" s="118"/>
      <c r="J72" s="118"/>
      <c r="K72" s="118"/>
      <c r="L72" s="118"/>
      <c r="M72" s="118"/>
      <c r="N72" s="118"/>
      <c r="O72" s="118"/>
      <c r="P72" s="118"/>
      <c r="Q72" s="118"/>
      <c r="R72" s="118"/>
      <c r="S72" s="6"/>
    </row>
    <row r="73" spans="1:19" x14ac:dyDescent="0.25">
      <c r="A73" s="127"/>
      <c r="B73" s="118"/>
      <c r="C73" s="118"/>
      <c r="D73" s="118"/>
      <c r="E73" s="118"/>
      <c r="F73" s="118"/>
      <c r="G73" s="118"/>
      <c r="H73" s="118"/>
      <c r="I73" s="118"/>
      <c r="J73" s="118"/>
      <c r="K73" s="118"/>
      <c r="L73" s="118"/>
      <c r="M73" s="118"/>
      <c r="N73" s="118"/>
      <c r="O73" s="118"/>
      <c r="P73" s="118"/>
      <c r="Q73" s="118"/>
      <c r="R73" s="118"/>
      <c r="S73" s="6"/>
    </row>
    <row r="74" spans="1:19" x14ac:dyDescent="0.25">
      <c r="A74" s="127"/>
      <c r="B74" s="118"/>
      <c r="C74" s="118"/>
      <c r="D74" s="118"/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6"/>
    </row>
    <row r="75" spans="1:19" x14ac:dyDescent="0.25">
      <c r="A75" s="127"/>
      <c r="B75" s="118"/>
      <c r="C75" s="118"/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6"/>
    </row>
    <row r="76" spans="1:19" x14ac:dyDescent="0.25">
      <c r="A76" s="127"/>
      <c r="B76" s="118"/>
      <c r="C76" s="118"/>
      <c r="D76" s="118"/>
      <c r="E76" s="118"/>
      <c r="F76" s="118"/>
      <c r="G76" s="118"/>
      <c r="H76" s="118"/>
      <c r="I76" s="118"/>
      <c r="J76" s="118"/>
      <c r="K76" s="118"/>
      <c r="L76" s="118"/>
      <c r="M76" s="118"/>
      <c r="N76" s="118"/>
      <c r="O76" s="118"/>
      <c r="P76" s="118"/>
      <c r="Q76" s="118"/>
      <c r="R76" s="118"/>
      <c r="S76" s="6"/>
    </row>
    <row r="77" spans="1:19" x14ac:dyDescent="0.25">
      <c r="A77" s="127"/>
      <c r="B77" s="118"/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6"/>
    </row>
    <row r="78" spans="1:19" x14ac:dyDescent="0.25">
      <c r="A78" s="127"/>
      <c r="B78" s="118"/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6"/>
    </row>
    <row r="79" spans="1:19" x14ac:dyDescent="0.25">
      <c r="A79" s="127"/>
      <c r="B79" s="118"/>
      <c r="C79" s="118"/>
      <c r="D79" s="118"/>
      <c r="E79" s="118"/>
      <c r="F79" s="118"/>
      <c r="G79" s="118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6"/>
    </row>
    <row r="80" spans="1:19" x14ac:dyDescent="0.25">
      <c r="A80" s="127"/>
      <c r="B80" s="118"/>
      <c r="C80" s="118"/>
      <c r="D80" s="118"/>
      <c r="E80" s="118"/>
      <c r="F80" s="118"/>
      <c r="G80" s="118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6"/>
    </row>
    <row r="81" spans="1:26" x14ac:dyDescent="0.25">
      <c r="A81" s="127"/>
      <c r="B81" s="118"/>
      <c r="C81" s="118"/>
      <c r="D81" s="118"/>
      <c r="E81" s="118"/>
      <c r="F81" s="118"/>
      <c r="G81" s="118"/>
      <c r="H81" s="118"/>
      <c r="I81" s="118"/>
      <c r="J81" s="118"/>
      <c r="K81" s="118"/>
      <c r="L81" s="118"/>
      <c r="M81" s="118"/>
      <c r="N81" s="118"/>
      <c r="O81" s="118"/>
      <c r="P81" s="118"/>
      <c r="Q81" s="118"/>
      <c r="R81" s="118"/>
      <c r="S81" s="6"/>
    </row>
    <row r="82" spans="1:26" x14ac:dyDescent="0.25">
      <c r="A82" s="127"/>
      <c r="B82" s="118"/>
      <c r="C82" s="118"/>
      <c r="D82" s="118"/>
      <c r="E82" s="118"/>
      <c r="F82" s="118"/>
      <c r="G82" s="118"/>
      <c r="H82" s="118"/>
      <c r="I82" s="118"/>
      <c r="J82" s="118"/>
      <c r="K82" s="118"/>
      <c r="L82" s="118"/>
      <c r="M82" s="118"/>
      <c r="N82" s="118"/>
      <c r="O82" s="118"/>
      <c r="P82" s="118"/>
      <c r="Q82" s="118"/>
      <c r="R82" s="118"/>
      <c r="S82" s="6"/>
    </row>
    <row r="83" spans="1:26" x14ac:dyDescent="0.25">
      <c r="A83" s="127"/>
      <c r="B83" s="118"/>
      <c r="C83" s="118"/>
      <c r="D83" s="118"/>
      <c r="E83" s="118"/>
      <c r="F83" s="118"/>
      <c r="G83" s="118"/>
      <c r="H83" s="118"/>
      <c r="I83" s="118"/>
      <c r="J83" s="118"/>
      <c r="K83" s="118"/>
      <c r="L83" s="118"/>
      <c r="M83" s="118"/>
      <c r="N83" s="118"/>
      <c r="O83" s="118"/>
      <c r="P83" s="118"/>
      <c r="Q83" s="118"/>
      <c r="R83" s="118"/>
      <c r="S83" s="6"/>
    </row>
    <row r="84" spans="1:26" x14ac:dyDescent="0.25">
      <c r="A84" s="127"/>
      <c r="B84" s="118"/>
      <c r="C84" s="118"/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118"/>
      <c r="Q84" s="118"/>
      <c r="R84" s="118"/>
      <c r="S84" s="6"/>
    </row>
    <row r="85" spans="1:26" x14ac:dyDescent="0.25">
      <c r="A85" s="127"/>
      <c r="B85" s="118"/>
      <c r="C85" s="118"/>
      <c r="D85" s="118"/>
      <c r="E85" s="118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118"/>
      <c r="Q85" s="118"/>
      <c r="R85" s="118"/>
      <c r="S85" s="6"/>
    </row>
    <row r="86" spans="1:26" x14ac:dyDescent="0.25">
      <c r="A86" s="127"/>
      <c r="B86" s="118"/>
      <c r="C86" s="118"/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8"/>
      <c r="Q86" s="118"/>
      <c r="R86" s="118"/>
      <c r="S86" s="6"/>
      <c r="Z86" s="30"/>
    </row>
    <row r="87" spans="1:26" x14ac:dyDescent="0.25">
      <c r="A87" s="127"/>
      <c r="B87" s="118"/>
      <c r="C87" s="118"/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118"/>
      <c r="Q87" s="118"/>
      <c r="R87" s="118"/>
      <c r="S87" s="6"/>
    </row>
    <row r="88" spans="1:26" x14ac:dyDescent="0.25">
      <c r="A88" s="127"/>
      <c r="B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6"/>
    </row>
    <row r="89" spans="1:26" x14ac:dyDescent="0.25">
      <c r="A89" s="127"/>
      <c r="B89" s="11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18"/>
      <c r="O89" s="118"/>
      <c r="P89" s="118"/>
      <c r="Q89" s="118"/>
      <c r="R89" s="118"/>
      <c r="S89" s="6"/>
    </row>
    <row r="90" spans="1:26" x14ac:dyDescent="0.25">
      <c r="A90" s="127"/>
      <c r="B90" s="118"/>
      <c r="C90" s="118"/>
      <c r="D90" s="118"/>
      <c r="E90" s="118"/>
      <c r="F90" s="118"/>
      <c r="G90" s="118"/>
      <c r="H90" s="118"/>
      <c r="I90" s="118"/>
      <c r="J90" s="118"/>
      <c r="K90" s="118"/>
      <c r="L90" s="118"/>
      <c r="M90" s="118"/>
      <c r="N90" s="118"/>
      <c r="O90" s="118"/>
      <c r="P90" s="118"/>
      <c r="Q90" s="118"/>
      <c r="R90" s="118"/>
      <c r="S90" s="76"/>
    </row>
    <row r="91" spans="1:26" x14ac:dyDescent="0.25">
      <c r="A91" s="127"/>
      <c r="B91" s="118"/>
      <c r="C91" s="118"/>
      <c r="D91" s="118"/>
      <c r="E91" s="118"/>
      <c r="F91" s="118"/>
      <c r="G91" s="118"/>
      <c r="H91" s="118"/>
      <c r="I91" s="118"/>
      <c r="J91" s="118"/>
      <c r="K91" s="118"/>
      <c r="L91" s="118"/>
      <c r="M91" s="118"/>
      <c r="N91" s="118"/>
      <c r="O91" s="118"/>
      <c r="P91" s="118"/>
      <c r="Q91" s="118"/>
      <c r="R91" s="118"/>
      <c r="S91" s="77"/>
    </row>
    <row r="92" spans="1:26" ht="15" customHeight="1" x14ac:dyDescent="0.25">
      <c r="A92" s="127"/>
      <c r="B92" s="118"/>
      <c r="C92" s="118"/>
      <c r="D92" s="118"/>
      <c r="E92" s="118"/>
      <c r="F92" s="118"/>
      <c r="G92" s="118"/>
      <c r="H92" s="118"/>
      <c r="I92" s="118"/>
      <c r="J92" s="118"/>
      <c r="K92" s="118"/>
      <c r="L92" s="118"/>
      <c r="M92" s="118"/>
      <c r="N92" s="118"/>
      <c r="O92" s="118"/>
      <c r="P92" s="118"/>
      <c r="Q92" s="118"/>
      <c r="R92" s="118"/>
      <c r="S92" s="77"/>
    </row>
    <row r="93" spans="1:26" ht="15" customHeight="1" x14ac:dyDescent="0.25">
      <c r="A93" s="14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77"/>
    </row>
    <row r="94" spans="1:26" ht="15" customHeight="1" x14ac:dyDescent="0.25">
      <c r="A94" s="14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77"/>
    </row>
    <row r="95" spans="1:26" ht="15" customHeight="1" x14ac:dyDescent="0.25">
      <c r="A95" s="80"/>
      <c r="B95" s="54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77"/>
    </row>
    <row r="96" spans="1:26" ht="15" customHeight="1" x14ac:dyDescent="0.25">
      <c r="A96" s="80"/>
      <c r="B96" s="54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77"/>
    </row>
    <row r="97" spans="1:19" ht="15" customHeight="1" x14ac:dyDescent="0.25">
      <c r="A97" s="80"/>
      <c r="B97" s="125"/>
      <c r="C97" s="125"/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77"/>
    </row>
    <row r="98" spans="1:19" ht="15" customHeight="1" x14ac:dyDescent="0.25">
      <c r="A98" s="82"/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77"/>
    </row>
    <row r="99" spans="1:19" ht="15" customHeight="1" x14ac:dyDescent="0.25">
      <c r="A99" s="128"/>
      <c r="B99" s="125"/>
      <c r="C99" s="125"/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6"/>
    </row>
    <row r="100" spans="1:19" ht="15" customHeight="1" x14ac:dyDescent="0.25">
      <c r="A100" s="128"/>
      <c r="B100" s="125"/>
      <c r="C100" s="125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6"/>
    </row>
    <row r="101" spans="1:19" ht="15" customHeight="1" x14ac:dyDescent="0.25">
      <c r="A101" s="128"/>
      <c r="B101" s="125"/>
      <c r="C101" s="125"/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6"/>
    </row>
    <row r="102" spans="1:19" ht="15" customHeight="1" x14ac:dyDescent="0.25">
      <c r="A102" s="128"/>
      <c r="B102" s="125"/>
      <c r="C102" s="125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6"/>
    </row>
    <row r="103" spans="1:19" ht="15" customHeight="1" x14ac:dyDescent="0.25">
      <c r="A103" s="128"/>
      <c r="B103" s="125"/>
      <c r="C103" s="125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6"/>
    </row>
    <row r="104" spans="1:19" ht="15" customHeight="1" x14ac:dyDescent="0.25">
      <c r="A104" s="128"/>
      <c r="B104" s="125"/>
      <c r="C104" s="125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6"/>
    </row>
    <row r="105" spans="1:19" ht="15" customHeight="1" x14ac:dyDescent="0.25">
      <c r="A105" s="128"/>
      <c r="B105" s="125"/>
      <c r="C105" s="125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6"/>
    </row>
    <row r="106" spans="1:19" ht="15" customHeight="1" x14ac:dyDescent="0.25">
      <c r="A106" s="128"/>
      <c r="B106" s="125"/>
      <c r="C106" s="125"/>
      <c r="D106" s="125"/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6"/>
    </row>
    <row r="107" spans="1:19" ht="15" customHeight="1" x14ac:dyDescent="0.25">
      <c r="A107" s="128"/>
      <c r="B107" s="125"/>
      <c r="C107" s="125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6"/>
    </row>
    <row r="108" spans="1:19" ht="15" customHeight="1" x14ac:dyDescent="0.25">
      <c r="A108" s="128"/>
      <c r="B108" s="125"/>
      <c r="C108" s="125"/>
      <c r="D108" s="125"/>
      <c r="E108" s="125"/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6"/>
    </row>
    <row r="109" spans="1:19" ht="15" customHeight="1" x14ac:dyDescent="0.25">
      <c r="A109" s="128"/>
      <c r="B109" s="125"/>
      <c r="C109" s="125"/>
      <c r="D109" s="125"/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6"/>
    </row>
    <row r="110" spans="1:19" ht="15" customHeight="1" x14ac:dyDescent="0.25">
      <c r="A110" s="128"/>
      <c r="B110" s="125"/>
      <c r="C110" s="125"/>
      <c r="D110" s="125"/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6"/>
    </row>
    <row r="111" spans="1:19" ht="15" customHeight="1" x14ac:dyDescent="0.25">
      <c r="A111" s="128"/>
      <c r="B111" s="125"/>
      <c r="C111" s="125"/>
      <c r="D111" s="125"/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6"/>
    </row>
    <row r="112" spans="1:19" ht="15" customHeight="1" x14ac:dyDescent="0.25">
      <c r="A112" s="128"/>
      <c r="B112" s="125"/>
      <c r="C112" s="125"/>
      <c r="D112" s="125"/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6"/>
    </row>
    <row r="113" spans="1:19" ht="15" customHeight="1" x14ac:dyDescent="0.25">
      <c r="A113" s="128"/>
      <c r="B113" s="125"/>
      <c r="C113" s="125"/>
      <c r="D113" s="125"/>
      <c r="E113" s="125"/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6"/>
    </row>
    <row r="114" spans="1:19" ht="15" customHeight="1" x14ac:dyDescent="0.25">
      <c r="A114" s="128"/>
      <c r="B114" s="125"/>
      <c r="C114" s="125"/>
      <c r="D114" s="125"/>
      <c r="E114" s="125"/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6"/>
    </row>
    <row r="115" spans="1:19" ht="15" customHeight="1" x14ac:dyDescent="0.25">
      <c r="A115" s="128"/>
      <c r="B115" s="125"/>
      <c r="C115" s="125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6"/>
    </row>
    <row r="116" spans="1:19" ht="15" customHeight="1" x14ac:dyDescent="0.25">
      <c r="A116" s="128"/>
      <c r="B116" s="125"/>
      <c r="C116" s="125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6"/>
    </row>
    <row r="117" spans="1:19" ht="15" customHeight="1" x14ac:dyDescent="0.25">
      <c r="A117" s="128"/>
      <c r="B117" s="125"/>
      <c r="C117" s="125"/>
      <c r="D117" s="125"/>
      <c r="E117" s="125"/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6"/>
    </row>
    <row r="118" spans="1:19" ht="15" customHeight="1" x14ac:dyDescent="0.25">
      <c r="A118" s="128"/>
      <c r="B118" s="125"/>
      <c r="C118" s="125"/>
      <c r="D118" s="125"/>
      <c r="E118" s="125"/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6"/>
    </row>
    <row r="119" spans="1:19" ht="15" customHeight="1" x14ac:dyDescent="0.25">
      <c r="A119" s="128"/>
      <c r="B119" s="125"/>
      <c r="C119" s="125"/>
      <c r="D119" s="125"/>
      <c r="E119" s="125"/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6"/>
    </row>
    <row r="120" spans="1:19" ht="15" customHeight="1" x14ac:dyDescent="0.25">
      <c r="A120" s="128"/>
      <c r="B120" s="125"/>
      <c r="C120" s="125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6"/>
    </row>
    <row r="121" spans="1:19" ht="15" customHeight="1" x14ac:dyDescent="0.25">
      <c r="A121" s="128"/>
      <c r="B121" s="125"/>
      <c r="C121" s="125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6"/>
    </row>
    <row r="122" spans="1:19" ht="15" customHeight="1" x14ac:dyDescent="0.25">
      <c r="A122" s="128"/>
      <c r="B122" s="125"/>
      <c r="C122" s="125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6"/>
    </row>
    <row r="123" spans="1:19" ht="15" customHeight="1" x14ac:dyDescent="0.25">
      <c r="A123" s="128"/>
      <c r="B123" s="125"/>
      <c r="C123" s="125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6"/>
    </row>
    <row r="124" spans="1:19" ht="15" customHeight="1" x14ac:dyDescent="0.25">
      <c r="A124" s="128"/>
      <c r="B124" s="125"/>
      <c r="C124" s="125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6"/>
    </row>
    <row r="125" spans="1:19" ht="15" customHeight="1" x14ac:dyDescent="0.25">
      <c r="A125" s="128"/>
      <c r="B125" s="125"/>
      <c r="C125" s="125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6"/>
    </row>
    <row r="126" spans="1:19" ht="15" customHeight="1" x14ac:dyDescent="0.25">
      <c r="A126" s="128"/>
      <c r="B126" s="125"/>
      <c r="C126" s="125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6"/>
    </row>
    <row r="127" spans="1:19" ht="15" customHeight="1" x14ac:dyDescent="0.25">
      <c r="A127" s="128"/>
      <c r="B127" s="125"/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6"/>
    </row>
    <row r="128" spans="1:19" ht="15" customHeight="1" x14ac:dyDescent="0.25">
      <c r="A128" s="128"/>
      <c r="B128" s="125"/>
      <c r="C128" s="125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6"/>
    </row>
    <row r="129" spans="1:27" ht="15" customHeight="1" x14ac:dyDescent="0.25">
      <c r="A129" s="128"/>
      <c r="B129" s="125"/>
      <c r="C129" s="125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6"/>
    </row>
    <row r="130" spans="1:27" ht="15" customHeight="1" x14ac:dyDescent="0.25">
      <c r="A130" s="128"/>
      <c r="B130" s="125"/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6"/>
    </row>
    <row r="131" spans="1:27" ht="15" customHeight="1" x14ac:dyDescent="0.25">
      <c r="A131" s="128"/>
      <c r="B131" s="125"/>
      <c r="C131" s="125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6"/>
    </row>
    <row r="132" spans="1:27" ht="15" customHeight="1" x14ac:dyDescent="0.25">
      <c r="A132" s="5"/>
      <c r="B132" s="125"/>
      <c r="C132" s="125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6"/>
    </row>
    <row r="133" spans="1:27" ht="15" customHeight="1" x14ac:dyDescent="0.25">
      <c r="A133" s="5"/>
      <c r="B133" s="125"/>
      <c r="C133" s="125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6"/>
    </row>
    <row r="134" spans="1:27" ht="15" customHeight="1" x14ac:dyDescent="0.25">
      <c r="A134" s="5"/>
      <c r="B134" s="125"/>
      <c r="C134" s="125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6"/>
    </row>
    <row r="135" spans="1:27" ht="15" customHeight="1" x14ac:dyDescent="0.25">
      <c r="A135" s="5"/>
      <c r="B135" s="125"/>
      <c r="C135" s="125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6"/>
    </row>
    <row r="136" spans="1:27" x14ac:dyDescent="0.25">
      <c r="A136" s="15"/>
      <c r="S136" s="6"/>
    </row>
    <row r="137" spans="1:27" ht="15" customHeight="1" x14ac:dyDescent="0.25">
      <c r="A137" s="14"/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6"/>
    </row>
    <row r="138" spans="1:27" ht="15" customHeight="1" x14ac:dyDescent="0.25">
      <c r="A138" s="14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6"/>
    </row>
    <row r="139" spans="1:27" ht="15" customHeight="1" x14ac:dyDescent="0.25">
      <c r="A139" s="14"/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6"/>
    </row>
    <row r="140" spans="1:27" ht="15" customHeight="1" x14ac:dyDescent="0.25">
      <c r="A140" s="80"/>
      <c r="B140" s="54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76"/>
    </row>
    <row r="141" spans="1:27" ht="15" customHeight="1" x14ac:dyDescent="0.25">
      <c r="A141" s="80"/>
      <c r="B141" s="54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76"/>
    </row>
    <row r="142" spans="1:27" ht="15" customHeight="1" x14ac:dyDescent="0.25">
      <c r="A142" s="83"/>
      <c r="B142" s="59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78"/>
    </row>
    <row r="143" spans="1:27" x14ac:dyDescent="0.25">
      <c r="G143" s="30"/>
      <c r="AA143" s="2"/>
    </row>
    <row r="144" spans="1:27" ht="15" customHeight="1" x14ac:dyDescent="0.25">
      <c r="G144" s="30"/>
      <c r="AA144" s="2"/>
    </row>
    <row r="145" spans="7:27" x14ac:dyDescent="0.25">
      <c r="G145" s="30"/>
      <c r="AA145" s="2"/>
    </row>
    <row r="146" spans="7:27" x14ac:dyDescent="0.25">
      <c r="G146" s="30"/>
      <c r="AA146" s="2"/>
    </row>
    <row r="147" spans="7:27" x14ac:dyDescent="0.25">
      <c r="G147" s="30"/>
      <c r="AA147" s="2"/>
    </row>
    <row r="148" spans="7:27" x14ac:dyDescent="0.25">
      <c r="G148" s="30"/>
      <c r="AA148" s="2"/>
    </row>
    <row r="149" spans="7:27" x14ac:dyDescent="0.25">
      <c r="G149" s="30"/>
      <c r="AA149" s="2"/>
    </row>
    <row r="150" spans="7:27" x14ac:dyDescent="0.25">
      <c r="G150" s="30"/>
      <c r="AA150" s="2"/>
    </row>
    <row r="151" spans="7:27" x14ac:dyDescent="0.25">
      <c r="G151" s="30"/>
      <c r="AA151" s="2"/>
    </row>
    <row r="152" spans="7:27" x14ac:dyDescent="0.25">
      <c r="G152" s="30"/>
      <c r="AA152" s="2"/>
    </row>
    <row r="153" spans="7:27" x14ac:dyDescent="0.25">
      <c r="G153" s="30"/>
      <c r="AA153" s="2"/>
    </row>
    <row r="154" spans="7:27" x14ac:dyDescent="0.25">
      <c r="G154" s="30"/>
      <c r="AA154" s="2"/>
    </row>
    <row r="155" spans="7:27" x14ac:dyDescent="0.25">
      <c r="G155" s="30"/>
      <c r="AA155" s="2"/>
    </row>
    <row r="156" spans="7:27" x14ac:dyDescent="0.25">
      <c r="G156" s="30"/>
      <c r="AA156" s="2"/>
    </row>
    <row r="157" spans="7:27" x14ac:dyDescent="0.25">
      <c r="G157" s="30"/>
      <c r="AA157" s="2"/>
    </row>
    <row r="158" spans="7:27" x14ac:dyDescent="0.25">
      <c r="G158" s="30"/>
      <c r="AA158" s="2"/>
    </row>
    <row r="159" spans="7:27" x14ac:dyDescent="0.25">
      <c r="G159" s="30"/>
      <c r="AA159" s="2"/>
    </row>
    <row r="160" spans="7:27" x14ac:dyDescent="0.25">
      <c r="G160" s="30"/>
      <c r="AA160" s="2"/>
    </row>
    <row r="161" spans="7:27" x14ac:dyDescent="0.25">
      <c r="G161" s="30"/>
      <c r="AA161" s="2"/>
    </row>
    <row r="162" spans="7:27" x14ac:dyDescent="0.25">
      <c r="G162" s="30"/>
      <c r="AA162" s="2"/>
    </row>
    <row r="163" spans="7:27" x14ac:dyDescent="0.25">
      <c r="G163" s="30"/>
      <c r="AA163" s="2"/>
    </row>
    <row r="164" spans="7:27" x14ac:dyDescent="0.25">
      <c r="G164" s="30"/>
      <c r="AA164" s="2"/>
    </row>
    <row r="165" spans="7:27" x14ac:dyDescent="0.25">
      <c r="G165" s="30"/>
      <c r="AA165" s="2"/>
    </row>
    <row r="166" spans="7:27" x14ac:dyDescent="0.25">
      <c r="G166" s="30"/>
      <c r="AA166" s="2"/>
    </row>
    <row r="167" spans="7:27" x14ac:dyDescent="0.25">
      <c r="G167" s="30"/>
      <c r="AA167" s="2"/>
    </row>
    <row r="168" spans="7:27" x14ac:dyDescent="0.25">
      <c r="G168" s="30"/>
      <c r="AA168" s="2"/>
    </row>
    <row r="169" spans="7:27" x14ac:dyDescent="0.25">
      <c r="G169" s="30"/>
      <c r="AA169" s="2"/>
    </row>
    <row r="170" spans="7:27" x14ac:dyDescent="0.25">
      <c r="G170" s="30"/>
      <c r="AA170" s="2"/>
    </row>
    <row r="171" spans="7:27" x14ac:dyDescent="0.25">
      <c r="G171" s="30"/>
      <c r="AA171" s="2"/>
    </row>
    <row r="172" spans="7:27" x14ac:dyDescent="0.25">
      <c r="G172" s="30"/>
      <c r="AA172" s="2"/>
    </row>
    <row r="173" spans="7:27" x14ac:dyDescent="0.25">
      <c r="G173" s="30"/>
      <c r="AA173" s="2"/>
    </row>
    <row r="174" spans="7:27" x14ac:dyDescent="0.25">
      <c r="G174" s="30"/>
      <c r="AA174" s="2"/>
    </row>
    <row r="175" spans="7:27" x14ac:dyDescent="0.25">
      <c r="G175" s="30"/>
      <c r="AA175" s="2"/>
    </row>
    <row r="176" spans="7:27" x14ac:dyDescent="0.25">
      <c r="G176" s="30"/>
      <c r="AA176" s="2"/>
    </row>
    <row r="177" spans="7:27" x14ac:dyDescent="0.25">
      <c r="G177" s="30"/>
      <c r="AA177" s="2"/>
    </row>
    <row r="178" spans="7:27" x14ac:dyDescent="0.25">
      <c r="G178" s="30"/>
      <c r="AA178" s="2"/>
    </row>
    <row r="179" spans="7:27" x14ac:dyDescent="0.25">
      <c r="G179" s="30"/>
      <c r="AA179" s="2"/>
    </row>
    <row r="180" spans="7:27" x14ac:dyDescent="0.25">
      <c r="G180" s="30"/>
      <c r="AA180" s="2"/>
    </row>
    <row r="181" spans="7:27" x14ac:dyDescent="0.25">
      <c r="G181" s="30"/>
      <c r="AA181" s="2"/>
    </row>
    <row r="182" spans="7:27" ht="15" customHeight="1" x14ac:dyDescent="0.25">
      <c r="G182" s="30"/>
      <c r="AA182" s="2"/>
    </row>
    <row r="183" spans="7:27" ht="15" customHeight="1" x14ac:dyDescent="0.25">
      <c r="G183" s="30"/>
      <c r="AA183" s="2"/>
    </row>
    <row r="184" spans="7:27" ht="15" customHeight="1" x14ac:dyDescent="0.25">
      <c r="G184" s="30"/>
      <c r="AA184" s="2"/>
    </row>
    <row r="185" spans="7:27" ht="15" customHeight="1" x14ac:dyDescent="0.25">
      <c r="G185" s="30"/>
      <c r="AA185" s="2"/>
    </row>
    <row r="186" spans="7:27" ht="15" customHeight="1" x14ac:dyDescent="0.25">
      <c r="G186" s="30"/>
      <c r="AA186" s="2"/>
    </row>
    <row r="187" spans="7:27" ht="15" customHeight="1" x14ac:dyDescent="0.25">
      <c r="G187" s="30"/>
      <c r="AA187" s="2"/>
    </row>
    <row r="188" spans="7:27" x14ac:dyDescent="0.25">
      <c r="G188" s="30"/>
      <c r="AA188" s="2"/>
    </row>
    <row r="189" spans="7:27" ht="15" customHeight="1" x14ac:dyDescent="0.25">
      <c r="G189" s="30"/>
      <c r="AA189" s="2"/>
    </row>
    <row r="190" spans="7:27" x14ac:dyDescent="0.25">
      <c r="G190" s="30"/>
      <c r="AA190" s="2"/>
    </row>
    <row r="191" spans="7:27" x14ac:dyDescent="0.25">
      <c r="G191" s="30"/>
      <c r="AA191" s="2"/>
    </row>
    <row r="192" spans="7:27" x14ac:dyDescent="0.25">
      <c r="G192" s="30"/>
      <c r="AA192" s="2"/>
    </row>
    <row r="193" spans="7:27" x14ac:dyDescent="0.25">
      <c r="G193" s="30"/>
      <c r="AA193" s="2"/>
    </row>
    <row r="194" spans="7:27" x14ac:dyDescent="0.25">
      <c r="G194" s="30"/>
      <c r="AA194" s="2"/>
    </row>
    <row r="195" spans="7:27" x14ac:dyDescent="0.25">
      <c r="G195" s="30"/>
      <c r="AA195" s="2"/>
    </row>
    <row r="196" spans="7:27" x14ac:dyDescent="0.25">
      <c r="G196" s="30"/>
      <c r="AA196" s="2"/>
    </row>
    <row r="197" spans="7:27" x14ac:dyDescent="0.25">
      <c r="G197" s="30"/>
      <c r="AA197" s="2"/>
    </row>
    <row r="198" spans="7:27" x14ac:dyDescent="0.25">
      <c r="G198" s="30"/>
      <c r="AA198" s="2"/>
    </row>
    <row r="199" spans="7:27" x14ac:dyDescent="0.25">
      <c r="G199" s="30"/>
      <c r="AA199" s="2"/>
    </row>
    <row r="200" spans="7:27" x14ac:dyDescent="0.25">
      <c r="G200" s="30"/>
      <c r="AA200" s="2"/>
    </row>
    <row r="201" spans="7:27" x14ac:dyDescent="0.25">
      <c r="G201" s="30"/>
      <c r="AA201" s="2"/>
    </row>
    <row r="202" spans="7:27" x14ac:dyDescent="0.25">
      <c r="G202" s="30"/>
      <c r="AA202" s="2"/>
    </row>
    <row r="203" spans="7:27" x14ac:dyDescent="0.25">
      <c r="G203" s="30"/>
      <c r="AA203" s="2"/>
    </row>
    <row r="204" spans="7:27" x14ac:dyDescent="0.25">
      <c r="G204" s="30"/>
      <c r="AA204" s="2"/>
    </row>
    <row r="205" spans="7:27" x14ac:dyDescent="0.25">
      <c r="G205" s="30"/>
      <c r="AA205" s="2"/>
    </row>
    <row r="206" spans="7:27" x14ac:dyDescent="0.25">
      <c r="G206" s="30"/>
      <c r="AA206" s="2"/>
    </row>
    <row r="207" spans="7:27" x14ac:dyDescent="0.25">
      <c r="G207" s="30"/>
      <c r="AA207" s="2"/>
    </row>
    <row r="208" spans="7:27" x14ac:dyDescent="0.25">
      <c r="G208" s="30"/>
      <c r="AA208" s="2"/>
    </row>
    <row r="209" spans="7:27" x14ac:dyDescent="0.25">
      <c r="G209" s="30"/>
      <c r="AA209" s="2"/>
    </row>
    <row r="210" spans="7:27" x14ac:dyDescent="0.25">
      <c r="G210" s="30"/>
      <c r="AA210" s="2"/>
    </row>
    <row r="211" spans="7:27" x14ac:dyDescent="0.25">
      <c r="G211" s="30"/>
      <c r="AA211" s="2"/>
    </row>
    <row r="212" spans="7:27" x14ac:dyDescent="0.25">
      <c r="G212" s="30"/>
      <c r="AA212" s="2"/>
    </row>
    <row r="213" spans="7:27" x14ac:dyDescent="0.25">
      <c r="G213" s="30"/>
      <c r="AA213" s="2"/>
    </row>
    <row r="214" spans="7:27" x14ac:dyDescent="0.25">
      <c r="G214" s="30"/>
      <c r="AA214" s="2"/>
    </row>
    <row r="215" spans="7:27" x14ac:dyDescent="0.25">
      <c r="G215" s="30"/>
      <c r="AA215" s="2"/>
    </row>
    <row r="216" spans="7:27" x14ac:dyDescent="0.25">
      <c r="G216" s="30"/>
      <c r="AA216" s="2"/>
    </row>
    <row r="217" spans="7:27" x14ac:dyDescent="0.25">
      <c r="G217" s="30"/>
      <c r="AA217" s="2"/>
    </row>
    <row r="218" spans="7:27" x14ac:dyDescent="0.25">
      <c r="G218" s="30"/>
      <c r="AA218" s="2"/>
    </row>
    <row r="219" spans="7:27" x14ac:dyDescent="0.25">
      <c r="G219" s="30"/>
      <c r="AA219" s="2"/>
    </row>
    <row r="220" spans="7:27" x14ac:dyDescent="0.25">
      <c r="G220" s="30"/>
      <c r="AA220" s="2"/>
    </row>
    <row r="221" spans="7:27" x14ac:dyDescent="0.25">
      <c r="G221" s="30"/>
      <c r="AA221" s="2"/>
    </row>
    <row r="222" spans="7:27" x14ac:dyDescent="0.25">
      <c r="G222" s="30"/>
      <c r="AA222" s="2"/>
    </row>
    <row r="223" spans="7:27" x14ac:dyDescent="0.25">
      <c r="G223" s="30"/>
      <c r="AA223" s="2"/>
    </row>
    <row r="224" spans="7:27" x14ac:dyDescent="0.25">
      <c r="G224" s="30"/>
      <c r="AA224" s="2"/>
    </row>
    <row r="225" spans="7:27" x14ac:dyDescent="0.25">
      <c r="G225" s="30"/>
      <c r="AA225" s="2"/>
    </row>
    <row r="226" spans="7:27" x14ac:dyDescent="0.25">
      <c r="G226" s="30"/>
      <c r="AA226" s="2"/>
    </row>
    <row r="227" spans="7:27" ht="15" customHeight="1" x14ac:dyDescent="0.25">
      <c r="G227" s="30"/>
      <c r="AA227" s="2"/>
    </row>
    <row r="228" spans="7:27" ht="15" customHeight="1" x14ac:dyDescent="0.25">
      <c r="G228" s="30"/>
      <c r="AA228" s="2"/>
    </row>
    <row r="229" spans="7:27" ht="15" customHeight="1" x14ac:dyDescent="0.25">
      <c r="G229" s="30"/>
      <c r="AA229" s="2"/>
    </row>
    <row r="230" spans="7:27" ht="15" customHeight="1" x14ac:dyDescent="0.25">
      <c r="G230" s="30"/>
      <c r="AA230" s="2"/>
    </row>
    <row r="231" spans="7:27" ht="15" customHeight="1" x14ac:dyDescent="0.25">
      <c r="G231" s="30"/>
      <c r="AA231" s="2"/>
    </row>
    <row r="232" spans="7:27" ht="15" customHeight="1" x14ac:dyDescent="0.25">
      <c r="G232" s="30"/>
      <c r="AA232" s="2"/>
    </row>
    <row r="233" spans="7:27" x14ac:dyDescent="0.25">
      <c r="G233" s="30"/>
      <c r="AA233" s="2"/>
    </row>
    <row r="234" spans="7:27" ht="15" customHeight="1" x14ac:dyDescent="0.25">
      <c r="G234" s="30"/>
      <c r="AA234" s="2"/>
    </row>
    <row r="235" spans="7:27" x14ac:dyDescent="0.25">
      <c r="G235" s="30"/>
      <c r="AA235" s="2"/>
    </row>
    <row r="236" spans="7:27" x14ac:dyDescent="0.25">
      <c r="G236" s="30"/>
      <c r="AA236" s="2"/>
    </row>
    <row r="237" spans="7:27" x14ac:dyDescent="0.25">
      <c r="G237" s="30"/>
      <c r="AA237" s="2"/>
    </row>
    <row r="238" spans="7:27" x14ac:dyDescent="0.25">
      <c r="G238" s="30"/>
      <c r="AA238" s="2"/>
    </row>
    <row r="239" spans="7:27" x14ac:dyDescent="0.25">
      <c r="G239" s="30"/>
      <c r="AA239" s="2"/>
    </row>
    <row r="240" spans="7:27" x14ac:dyDescent="0.25">
      <c r="G240" s="30"/>
      <c r="AA240" s="2"/>
    </row>
    <row r="241" spans="7:27" x14ac:dyDescent="0.25">
      <c r="G241" s="30"/>
      <c r="AA241" s="2"/>
    </row>
    <row r="242" spans="7:27" x14ac:dyDescent="0.25">
      <c r="G242" s="30"/>
      <c r="AA242" s="2"/>
    </row>
    <row r="243" spans="7:27" x14ac:dyDescent="0.25">
      <c r="G243" s="30"/>
      <c r="AA243" s="2"/>
    </row>
    <row r="244" spans="7:27" x14ac:dyDescent="0.25">
      <c r="G244" s="30"/>
      <c r="AA244" s="2"/>
    </row>
    <row r="245" spans="7:27" x14ac:dyDescent="0.25">
      <c r="G245" s="30"/>
      <c r="AA245" s="2"/>
    </row>
    <row r="246" spans="7:27" x14ac:dyDescent="0.25">
      <c r="G246" s="30"/>
      <c r="AA246" s="2"/>
    </row>
    <row r="247" spans="7:27" x14ac:dyDescent="0.25">
      <c r="G247" s="30"/>
      <c r="AA247" s="2"/>
    </row>
    <row r="248" spans="7:27" x14ac:dyDescent="0.25">
      <c r="G248" s="30"/>
      <c r="AA248" s="2"/>
    </row>
    <row r="249" spans="7:27" x14ac:dyDescent="0.25">
      <c r="G249" s="30"/>
      <c r="AA249" s="2"/>
    </row>
    <row r="250" spans="7:27" x14ac:dyDescent="0.25">
      <c r="G250" s="30"/>
      <c r="AA250" s="2"/>
    </row>
    <row r="251" spans="7:27" x14ac:dyDescent="0.25">
      <c r="G251" s="30"/>
      <c r="AA251" s="2"/>
    </row>
    <row r="252" spans="7:27" x14ac:dyDescent="0.25">
      <c r="G252" s="30"/>
      <c r="AA252" s="2"/>
    </row>
    <row r="253" spans="7:27" x14ac:dyDescent="0.25">
      <c r="G253" s="30"/>
      <c r="AA253" s="2"/>
    </row>
    <row r="254" spans="7:27" x14ac:dyDescent="0.25">
      <c r="G254" s="30"/>
      <c r="AA254" s="2"/>
    </row>
    <row r="255" spans="7:27" x14ac:dyDescent="0.25">
      <c r="G255" s="30"/>
      <c r="AA255" s="2"/>
    </row>
    <row r="256" spans="7:27" x14ac:dyDescent="0.25">
      <c r="G256" s="30"/>
      <c r="AA256" s="2"/>
    </row>
    <row r="257" spans="7:27" x14ac:dyDescent="0.25">
      <c r="G257" s="30"/>
      <c r="AA257" s="2"/>
    </row>
    <row r="258" spans="7:27" x14ac:dyDescent="0.25">
      <c r="G258" s="30"/>
      <c r="AA258" s="2"/>
    </row>
    <row r="259" spans="7:27" x14ac:dyDescent="0.25">
      <c r="G259" s="30"/>
      <c r="AA259" s="2"/>
    </row>
    <row r="260" spans="7:27" x14ac:dyDescent="0.25">
      <c r="G260" s="30"/>
      <c r="AA260" s="2"/>
    </row>
    <row r="261" spans="7:27" x14ac:dyDescent="0.25">
      <c r="G261" s="30"/>
      <c r="AA261" s="2"/>
    </row>
    <row r="262" spans="7:27" x14ac:dyDescent="0.25">
      <c r="G262" s="30"/>
      <c r="AA262" s="2"/>
    </row>
    <row r="263" spans="7:27" x14ac:dyDescent="0.25">
      <c r="G263" s="30"/>
      <c r="AA263" s="2"/>
    </row>
    <row r="264" spans="7:27" x14ac:dyDescent="0.25">
      <c r="G264" s="30"/>
      <c r="AA264" s="2"/>
    </row>
    <row r="265" spans="7:27" x14ac:dyDescent="0.25">
      <c r="G265" s="30"/>
      <c r="AA265" s="2"/>
    </row>
    <row r="266" spans="7:27" x14ac:dyDescent="0.25">
      <c r="G266" s="30"/>
      <c r="AA266" s="2"/>
    </row>
    <row r="267" spans="7:27" x14ac:dyDescent="0.25">
      <c r="G267" s="30"/>
      <c r="AA267" s="2"/>
    </row>
    <row r="268" spans="7:27" x14ac:dyDescent="0.25">
      <c r="G268" s="30"/>
      <c r="AA268" s="2"/>
    </row>
    <row r="269" spans="7:27" x14ac:dyDescent="0.25">
      <c r="G269" s="30"/>
      <c r="AA269" s="2"/>
    </row>
    <row r="270" spans="7:27" x14ac:dyDescent="0.25">
      <c r="G270" s="30"/>
      <c r="AA270" s="2"/>
    </row>
    <row r="271" spans="7:27" x14ac:dyDescent="0.25">
      <c r="G271" s="30"/>
      <c r="AA271" s="2"/>
    </row>
    <row r="272" spans="7:27" x14ac:dyDescent="0.25">
      <c r="G272" s="30"/>
      <c r="AA272" s="2"/>
    </row>
    <row r="273" spans="7:27" x14ac:dyDescent="0.25">
      <c r="G273" s="30"/>
      <c r="AA273" s="2"/>
    </row>
  </sheetData>
  <mergeCells count="12">
    <mergeCell ref="B11:R49"/>
    <mergeCell ref="A54:A92"/>
    <mergeCell ref="B54:R92"/>
    <mergeCell ref="B97:R135"/>
    <mergeCell ref="A99:A131"/>
    <mergeCell ref="E1:O3"/>
    <mergeCell ref="E4:E5"/>
    <mergeCell ref="F4:O5"/>
    <mergeCell ref="E6:E7"/>
    <mergeCell ref="F6:O7"/>
    <mergeCell ref="E8:E9"/>
    <mergeCell ref="F8:O9"/>
  </mergeCells>
  <pageMargins left="0.19685039370078741" right="0.19685039370078741" top="0.19685039370078741" bottom="0.19685039370078741" header="0" footer="0.35433070866141736"/>
  <pageSetup paperSize="9" scale="39" fitToHeight="3" orientation="portrait" horizontalDpi="1200" verticalDpi="1200" r:id="rId1"/>
  <headerFooter alignWithMargins="0">
    <oddFooter xml:space="preserve">&amp;C&amp;18Tooshop | M. Santos | &amp;D&amp;R&amp;18Página &amp;P de &amp;N         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273"/>
  <sheetViews>
    <sheetView view="pageBreakPreview" zoomScale="37" zoomScaleNormal="70" zoomScaleSheetLayoutView="37" workbookViewId="0">
      <selection activeCell="T57" sqref="T57"/>
    </sheetView>
  </sheetViews>
  <sheetFormatPr defaultRowHeight="15" x14ac:dyDescent="0.25"/>
  <cols>
    <col min="1" max="1" width="4.7109375" style="2" customWidth="1"/>
    <col min="2" max="2" width="9.140625" style="2"/>
    <col min="3" max="4" width="15.7109375" style="2" customWidth="1"/>
    <col min="5" max="5" width="30.7109375" style="2" customWidth="1"/>
    <col min="6" max="6" width="18.7109375" style="2" customWidth="1"/>
    <col min="7" max="13" width="9.140625" style="2"/>
    <col min="14" max="14" width="25.7109375" style="2" customWidth="1"/>
    <col min="15" max="15" width="30.7109375" style="2" customWidth="1"/>
    <col min="16" max="17" width="15.7109375" style="2" customWidth="1"/>
    <col min="18" max="18" width="9.140625" style="2" customWidth="1"/>
    <col min="19" max="19" width="4.5703125" style="2" customWidth="1"/>
    <col min="20" max="20" width="50.140625" style="2" customWidth="1"/>
    <col min="21" max="21" width="6.85546875" style="2" customWidth="1"/>
    <col min="22" max="22" width="6.5703125" style="2" customWidth="1"/>
    <col min="23" max="23" width="6.7109375" style="2" customWidth="1"/>
    <col min="24" max="24" width="7.28515625" style="2" customWidth="1"/>
    <col min="25" max="25" width="9.140625" style="2"/>
    <col min="26" max="26" width="39" style="2" bestFit="1" customWidth="1"/>
    <col min="27" max="27" width="13.5703125" style="30" bestFit="1" customWidth="1"/>
    <col min="28" max="28" width="10.42578125" style="2" bestFit="1" customWidth="1"/>
    <col min="29" max="29" width="19.42578125" style="2" bestFit="1" customWidth="1"/>
    <col min="30" max="30" width="5.42578125" style="2" bestFit="1" customWidth="1"/>
    <col min="31" max="16384" width="9.140625" style="2"/>
  </cols>
  <sheetData>
    <row r="1" spans="1:30" ht="15" customHeight="1" x14ac:dyDescent="0.25">
      <c r="A1" s="13"/>
      <c r="B1" s="3"/>
      <c r="C1" s="3"/>
      <c r="D1" s="3"/>
      <c r="E1" s="116" t="s">
        <v>3</v>
      </c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3"/>
      <c r="Q1" s="3"/>
      <c r="R1" s="3"/>
      <c r="S1" s="4"/>
      <c r="T1" s="10"/>
      <c r="Z1" s="49" t="s">
        <v>4</v>
      </c>
      <c r="AA1" s="88"/>
      <c r="AB1" s="102"/>
      <c r="AC1" s="103"/>
      <c r="AD1" s="104"/>
    </row>
    <row r="2" spans="1:30" ht="15" customHeight="1" x14ac:dyDescent="0.25">
      <c r="A2" s="14"/>
      <c r="B2" s="56"/>
      <c r="C2" s="56"/>
      <c r="D2" s="56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58"/>
      <c r="Q2" s="56"/>
      <c r="R2" s="56"/>
      <c r="S2" s="6"/>
      <c r="Z2" s="50" t="s">
        <v>477</v>
      </c>
      <c r="AA2" s="89"/>
      <c r="AB2" s="95"/>
      <c r="AC2" s="95"/>
      <c r="AD2" s="105"/>
    </row>
    <row r="3" spans="1:30" ht="15" customHeight="1" x14ac:dyDescent="0.25">
      <c r="A3" s="14"/>
      <c r="B3" s="56"/>
      <c r="C3" s="56"/>
      <c r="D3" s="56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58"/>
      <c r="Q3" s="56"/>
      <c r="R3" s="56"/>
      <c r="S3" s="6"/>
      <c r="Z3" s="50" t="s">
        <v>476</v>
      </c>
      <c r="AA3" s="89">
        <v>1</v>
      </c>
      <c r="AB3" s="95"/>
      <c r="AC3" s="95"/>
      <c r="AD3" s="105"/>
    </row>
    <row r="4" spans="1:30" ht="15" customHeight="1" x14ac:dyDescent="0.25">
      <c r="A4" s="14"/>
      <c r="B4" s="56"/>
      <c r="C4" s="56"/>
      <c r="D4" s="56"/>
      <c r="E4" s="129" t="str">
        <f>"Projeto: "</f>
        <v xml:space="preserve">Projeto: </v>
      </c>
      <c r="F4" s="131" t="str">
        <f>T7</f>
        <v>VW276 - TROC</v>
      </c>
      <c r="G4" s="131"/>
      <c r="H4" s="131"/>
      <c r="I4" s="131"/>
      <c r="J4" s="131"/>
      <c r="K4" s="131"/>
      <c r="L4" s="131"/>
      <c r="M4" s="131"/>
      <c r="N4" s="131"/>
      <c r="O4" s="132"/>
      <c r="P4" s="58"/>
      <c r="Q4" s="56"/>
      <c r="R4" s="56"/>
      <c r="S4" s="6"/>
      <c r="Z4" s="50" t="s">
        <v>218</v>
      </c>
      <c r="AA4" s="89"/>
      <c r="AB4" s="95"/>
      <c r="AC4" s="95"/>
      <c r="AD4" s="105"/>
    </row>
    <row r="5" spans="1:30" ht="15" customHeight="1" x14ac:dyDescent="0.25">
      <c r="A5" s="80"/>
      <c r="B5" s="54"/>
      <c r="C5" s="55"/>
      <c r="D5" s="55"/>
      <c r="E5" s="130"/>
      <c r="F5" s="133"/>
      <c r="G5" s="133"/>
      <c r="H5" s="133"/>
      <c r="I5" s="133"/>
      <c r="J5" s="133"/>
      <c r="K5" s="133"/>
      <c r="L5" s="133"/>
      <c r="M5" s="133"/>
      <c r="N5" s="133"/>
      <c r="O5" s="134"/>
      <c r="P5" s="58"/>
      <c r="Q5" s="55"/>
      <c r="R5" s="55"/>
      <c r="S5" s="6"/>
      <c r="Z5" s="50" t="s">
        <v>475</v>
      </c>
      <c r="AA5" s="89">
        <v>1</v>
      </c>
      <c r="AB5" s="95"/>
      <c r="AC5" s="95"/>
      <c r="AD5" s="105"/>
    </row>
    <row r="6" spans="1:30" ht="15" customHeight="1" x14ac:dyDescent="0.25">
      <c r="A6" s="80"/>
      <c r="B6" s="54"/>
      <c r="C6" s="55"/>
      <c r="D6" s="55"/>
      <c r="E6" s="135" t="str">
        <f>"Peça: "</f>
        <v xml:space="preserve">Peça: </v>
      </c>
      <c r="F6" s="136" t="str">
        <f>T8</f>
        <v>82G.831.111_112_311_312</v>
      </c>
      <c r="G6" s="136"/>
      <c r="H6" s="136"/>
      <c r="I6" s="136"/>
      <c r="J6" s="136"/>
      <c r="K6" s="136"/>
      <c r="L6" s="136"/>
      <c r="M6" s="136"/>
      <c r="N6" s="136"/>
      <c r="O6" s="137"/>
      <c r="P6" s="58"/>
      <c r="Q6" s="55"/>
      <c r="R6" s="55"/>
      <c r="S6" s="6"/>
      <c r="T6" s="17" t="s">
        <v>457</v>
      </c>
      <c r="Z6" s="50" t="s">
        <v>249</v>
      </c>
      <c r="AA6" s="89"/>
      <c r="AB6" s="95"/>
      <c r="AC6" s="95"/>
      <c r="AD6" s="105"/>
    </row>
    <row r="7" spans="1:30" ht="15" customHeight="1" x14ac:dyDescent="0.25">
      <c r="A7" s="80"/>
      <c r="B7" s="54"/>
      <c r="C7" s="55"/>
      <c r="D7" s="55"/>
      <c r="E7" s="130"/>
      <c r="F7" s="133"/>
      <c r="G7" s="133"/>
      <c r="H7" s="133"/>
      <c r="I7" s="133"/>
      <c r="J7" s="133"/>
      <c r="K7" s="133"/>
      <c r="L7" s="133"/>
      <c r="M7" s="133"/>
      <c r="N7" s="133"/>
      <c r="O7" s="134"/>
      <c r="P7" s="55"/>
      <c r="Q7" s="55"/>
      <c r="R7" s="55"/>
      <c r="S7" s="6"/>
      <c r="T7" s="53" t="s">
        <v>134</v>
      </c>
      <c r="Z7" s="50" t="s">
        <v>2</v>
      </c>
      <c r="AA7" s="89">
        <f>SUM(AA2:AA6)</f>
        <v>2</v>
      </c>
      <c r="AB7" s="95">
        <f>SUM(AB2:AB6)</f>
        <v>0</v>
      </c>
      <c r="AC7" s="95"/>
      <c r="AD7" s="105"/>
    </row>
    <row r="8" spans="1:30" ht="15" customHeight="1" x14ac:dyDescent="0.25">
      <c r="A8" s="15"/>
      <c r="E8" s="135" t="str">
        <f>"Ano: "</f>
        <v xml:space="preserve">Ano: </v>
      </c>
      <c r="F8" s="136">
        <f>T9</f>
        <v>2017</v>
      </c>
      <c r="G8" s="136"/>
      <c r="H8" s="136"/>
      <c r="I8" s="136"/>
      <c r="J8" s="136"/>
      <c r="K8" s="136"/>
      <c r="L8" s="136"/>
      <c r="M8" s="136"/>
      <c r="N8" s="136"/>
      <c r="O8" s="137"/>
      <c r="S8" s="6"/>
      <c r="T8" s="2" t="s">
        <v>117</v>
      </c>
      <c r="Z8" s="48" t="s">
        <v>5</v>
      </c>
      <c r="AA8" s="90"/>
      <c r="AB8" s="106"/>
      <c r="AC8" s="106"/>
      <c r="AD8" s="107"/>
    </row>
    <row r="9" spans="1:30" ht="15" customHeight="1" x14ac:dyDescent="0.25">
      <c r="A9" s="81"/>
      <c r="B9" s="57"/>
      <c r="C9" s="57"/>
      <c r="D9" s="57"/>
      <c r="E9" s="130"/>
      <c r="F9" s="133"/>
      <c r="G9" s="133"/>
      <c r="H9" s="133"/>
      <c r="I9" s="133"/>
      <c r="J9" s="133"/>
      <c r="K9" s="133"/>
      <c r="L9" s="133"/>
      <c r="M9" s="133"/>
      <c r="N9" s="133"/>
      <c r="O9" s="134"/>
      <c r="P9" s="57"/>
      <c r="Q9" s="57"/>
      <c r="R9" s="57"/>
      <c r="S9" s="6"/>
      <c r="T9" s="2">
        <v>2017</v>
      </c>
      <c r="Z9" s="44" t="s">
        <v>8</v>
      </c>
      <c r="AA9" s="91"/>
      <c r="AB9" s="108"/>
      <c r="AC9" s="108"/>
      <c r="AD9" s="109"/>
    </row>
    <row r="10" spans="1:30" x14ac:dyDescent="0.25">
      <c r="A10" s="81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6"/>
      <c r="Z10" s="44" t="s">
        <v>7</v>
      </c>
      <c r="AA10" s="91"/>
      <c r="AB10" s="108"/>
      <c r="AC10" s="108"/>
      <c r="AD10" s="109"/>
    </row>
    <row r="11" spans="1:30" ht="15" customHeight="1" x14ac:dyDescent="0.25">
      <c r="A11" s="81"/>
      <c r="B11" s="118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6"/>
      <c r="Z11" s="44" t="s">
        <v>41</v>
      </c>
      <c r="AA11" s="91"/>
      <c r="AB11" s="108"/>
      <c r="AC11" s="108"/>
      <c r="AD11" s="109"/>
    </row>
    <row r="12" spans="1:30" ht="15" customHeight="1" x14ac:dyDescent="0.25">
      <c r="A12" s="81"/>
      <c r="B12" s="118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6"/>
      <c r="Z12" s="44" t="s">
        <v>40</v>
      </c>
      <c r="AA12" s="91"/>
      <c r="AB12" s="108"/>
      <c r="AC12" s="108"/>
      <c r="AD12" s="109"/>
    </row>
    <row r="13" spans="1:30" ht="15" customHeight="1" x14ac:dyDescent="0.25">
      <c r="A13" s="81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6"/>
      <c r="T13" s="12"/>
      <c r="Z13" s="44" t="s">
        <v>1</v>
      </c>
      <c r="AA13" s="91"/>
      <c r="AB13" s="108"/>
      <c r="AC13" s="108"/>
      <c r="AD13" s="109"/>
    </row>
    <row r="14" spans="1:30" ht="15" customHeight="1" x14ac:dyDescent="0.25">
      <c r="A14" s="81"/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6"/>
      <c r="T14" s="11"/>
      <c r="Z14" s="96" t="s">
        <v>356</v>
      </c>
      <c r="AA14" s="94"/>
      <c r="AB14" s="110"/>
      <c r="AC14" s="110"/>
      <c r="AD14" s="111"/>
    </row>
    <row r="15" spans="1:30" ht="15" customHeight="1" x14ac:dyDescent="0.25">
      <c r="A15" s="81"/>
      <c r="B15" s="118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6"/>
      <c r="Z15" s="45" t="s">
        <v>353</v>
      </c>
      <c r="AA15" s="98"/>
      <c r="AB15" s="99"/>
      <c r="AC15" s="100"/>
      <c r="AD15" s="101"/>
    </row>
    <row r="16" spans="1:30" ht="15" customHeight="1" x14ac:dyDescent="0.25">
      <c r="A16" s="81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6"/>
      <c r="Z16" s="45" t="s">
        <v>185</v>
      </c>
      <c r="AA16" s="98"/>
      <c r="AB16" s="99"/>
      <c r="AC16" s="100"/>
      <c r="AD16" s="101"/>
    </row>
    <row r="17" spans="1:30" x14ac:dyDescent="0.25">
      <c r="A17" s="81"/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6"/>
      <c r="Z17" s="45" t="s">
        <v>210</v>
      </c>
      <c r="AA17" s="98"/>
      <c r="AB17" s="99"/>
      <c r="AC17" s="100"/>
      <c r="AD17" s="101"/>
    </row>
    <row r="18" spans="1:30" x14ac:dyDescent="0.25">
      <c r="A18" s="81"/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6"/>
      <c r="Z18" s="45" t="s">
        <v>354</v>
      </c>
      <c r="AA18" s="98"/>
      <c r="AB18" s="99"/>
      <c r="AC18" s="100"/>
      <c r="AD18" s="101"/>
    </row>
    <row r="19" spans="1:30" x14ac:dyDescent="0.25">
      <c r="A19" s="81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6"/>
      <c r="Z19" s="45" t="s">
        <v>46</v>
      </c>
      <c r="AA19" s="98"/>
      <c r="AB19" s="99"/>
      <c r="AC19" s="100"/>
      <c r="AD19" s="101"/>
    </row>
    <row r="20" spans="1:30" x14ac:dyDescent="0.25">
      <c r="A20" s="81"/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6"/>
      <c r="Z20" s="45" t="s">
        <v>204</v>
      </c>
      <c r="AA20" s="98"/>
      <c r="AB20" s="99"/>
      <c r="AC20" s="100"/>
      <c r="AD20" s="101"/>
    </row>
    <row r="21" spans="1:30" x14ac:dyDescent="0.25">
      <c r="A21" s="81"/>
      <c r="B21" s="118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6"/>
      <c r="Z21" s="45" t="s">
        <v>143</v>
      </c>
      <c r="AA21" s="98"/>
      <c r="AB21" s="99"/>
      <c r="AC21" s="100"/>
      <c r="AD21" s="101"/>
    </row>
    <row r="22" spans="1:30" x14ac:dyDescent="0.25">
      <c r="A22" s="81"/>
      <c r="B22" s="118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6"/>
      <c r="Z22" s="45" t="s">
        <v>147</v>
      </c>
      <c r="AA22" s="98"/>
      <c r="AB22" s="99"/>
      <c r="AC22" s="100"/>
      <c r="AD22" s="101"/>
    </row>
    <row r="23" spans="1:30" x14ac:dyDescent="0.25">
      <c r="A23" s="81"/>
      <c r="B23" s="118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6"/>
      <c r="Z23" s="45" t="s">
        <v>57</v>
      </c>
      <c r="AA23" s="98"/>
      <c r="AB23" s="99"/>
      <c r="AC23" s="100"/>
      <c r="AD23" s="101">
        <v>1</v>
      </c>
    </row>
    <row r="24" spans="1:30" x14ac:dyDescent="0.25">
      <c r="A24" s="81"/>
      <c r="B24" s="11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6"/>
      <c r="Z24" s="46" t="s">
        <v>52</v>
      </c>
      <c r="AA24" s="98"/>
      <c r="AB24" s="99"/>
      <c r="AC24" s="100"/>
      <c r="AD24" s="101">
        <v>1</v>
      </c>
    </row>
    <row r="25" spans="1:30" x14ac:dyDescent="0.25">
      <c r="A25" s="81"/>
      <c r="B25" s="118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6"/>
      <c r="Z25" s="46"/>
      <c r="AA25" s="98"/>
      <c r="AB25" s="99"/>
      <c r="AC25" s="100"/>
      <c r="AD25" s="101"/>
    </row>
    <row r="26" spans="1:30" x14ac:dyDescent="0.25">
      <c r="A26" s="81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6"/>
      <c r="Z26" s="46"/>
      <c r="AA26" s="92"/>
      <c r="AB26" s="100"/>
      <c r="AC26" s="100"/>
      <c r="AD26" s="101"/>
    </row>
    <row r="27" spans="1:30" x14ac:dyDescent="0.25">
      <c r="A27" s="81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6"/>
      <c r="Z27" s="46"/>
      <c r="AA27" s="92"/>
      <c r="AB27" s="100"/>
      <c r="AC27" s="100"/>
      <c r="AD27" s="101"/>
    </row>
    <row r="28" spans="1:30" x14ac:dyDescent="0.25">
      <c r="A28" s="81"/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6"/>
      <c r="Z28" s="97"/>
      <c r="AA28" s="92" t="s">
        <v>8</v>
      </c>
      <c r="AB28" s="100" t="s">
        <v>7</v>
      </c>
      <c r="AC28" s="100" t="s">
        <v>41</v>
      </c>
      <c r="AD28" s="101" t="s">
        <v>479</v>
      </c>
    </row>
    <row r="29" spans="1:30" x14ac:dyDescent="0.25">
      <c r="A29" s="81"/>
      <c r="B29" s="118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6"/>
      <c r="Z29" s="46"/>
      <c r="AA29" s="92"/>
      <c r="AB29" s="100"/>
      <c r="AC29" s="100"/>
      <c r="AD29" s="101"/>
    </row>
    <row r="30" spans="1:30" x14ac:dyDescent="0.25">
      <c r="A30" s="81"/>
      <c r="B30" s="118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6"/>
      <c r="Z30" s="46"/>
      <c r="AA30" s="92"/>
      <c r="AB30" s="100"/>
      <c r="AC30" s="100"/>
      <c r="AD30" s="101"/>
    </row>
    <row r="31" spans="1:30" x14ac:dyDescent="0.25">
      <c r="A31" s="81"/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6"/>
      <c r="Z31" s="46"/>
      <c r="AA31" s="92"/>
      <c r="AB31" s="100"/>
      <c r="AC31" s="100"/>
      <c r="AD31" s="101"/>
    </row>
    <row r="32" spans="1:30" x14ac:dyDescent="0.25">
      <c r="A32" s="81"/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6"/>
      <c r="Z32" s="46"/>
      <c r="AA32" s="92"/>
      <c r="AB32" s="100"/>
      <c r="AC32" s="100"/>
      <c r="AD32" s="101"/>
    </row>
    <row r="33" spans="1:30" x14ac:dyDescent="0.25">
      <c r="A33" s="81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6"/>
      <c r="Z33" s="46"/>
      <c r="AA33" s="92"/>
      <c r="AB33" s="100"/>
      <c r="AC33" s="100"/>
      <c r="AD33" s="101"/>
    </row>
    <row r="34" spans="1:30" x14ac:dyDescent="0.25">
      <c r="A34" s="81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6"/>
      <c r="Z34" s="97"/>
      <c r="AA34" s="92"/>
      <c r="AB34" s="100"/>
      <c r="AC34" s="100"/>
      <c r="AD34" s="101"/>
    </row>
    <row r="35" spans="1:30" x14ac:dyDescent="0.25">
      <c r="A35" s="81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6"/>
      <c r="Z35" s="46"/>
      <c r="AA35" s="92"/>
      <c r="AB35" s="100"/>
      <c r="AC35" s="100"/>
      <c r="AD35" s="101"/>
    </row>
    <row r="36" spans="1:30" x14ac:dyDescent="0.25">
      <c r="A36" s="81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6"/>
      <c r="Z36" s="46"/>
      <c r="AA36" s="92"/>
      <c r="AB36" s="100"/>
      <c r="AC36" s="100"/>
      <c r="AD36" s="101"/>
    </row>
    <row r="37" spans="1:30" x14ac:dyDescent="0.25">
      <c r="A37" s="81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6"/>
      <c r="Z37" s="46"/>
      <c r="AA37" s="92"/>
      <c r="AB37" s="100"/>
      <c r="AC37" s="100"/>
      <c r="AD37" s="101"/>
    </row>
    <row r="38" spans="1:30" x14ac:dyDescent="0.25">
      <c r="A38" s="81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6"/>
      <c r="Z38" s="46"/>
      <c r="AA38" s="92"/>
      <c r="AB38" s="100"/>
      <c r="AC38" s="100"/>
      <c r="AD38" s="101"/>
    </row>
    <row r="39" spans="1:30" ht="15.75" thickBot="1" x14ac:dyDescent="0.3">
      <c r="A39" s="81"/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6"/>
      <c r="Z39" s="47"/>
      <c r="AA39" s="93"/>
      <c r="AB39" s="112"/>
      <c r="AC39" s="112"/>
      <c r="AD39" s="113"/>
    </row>
    <row r="40" spans="1:30" x14ac:dyDescent="0.25">
      <c r="A40" s="81"/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6"/>
    </row>
    <row r="41" spans="1:30" x14ac:dyDescent="0.25">
      <c r="A41" s="81"/>
      <c r="B41" s="118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6"/>
    </row>
    <row r="42" spans="1:30" x14ac:dyDescent="0.25">
      <c r="A42" s="5"/>
      <c r="B42" s="118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6"/>
    </row>
    <row r="43" spans="1:30" x14ac:dyDescent="0.25">
      <c r="A43" s="5"/>
      <c r="B43" s="118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6"/>
    </row>
    <row r="44" spans="1:30" x14ac:dyDescent="0.25">
      <c r="A44" s="5"/>
      <c r="B44" s="118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6"/>
    </row>
    <row r="45" spans="1:30" x14ac:dyDescent="0.25">
      <c r="A45" s="5"/>
      <c r="B45" s="118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8"/>
      <c r="Q45" s="118"/>
      <c r="R45" s="118"/>
      <c r="S45" s="6"/>
    </row>
    <row r="46" spans="1:30" x14ac:dyDescent="0.25">
      <c r="A46" s="15"/>
      <c r="B46" s="118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6"/>
    </row>
    <row r="47" spans="1:30" ht="15" customHeight="1" x14ac:dyDescent="0.25">
      <c r="A47" s="14"/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6"/>
    </row>
    <row r="48" spans="1:30" ht="15" customHeight="1" x14ac:dyDescent="0.25">
      <c r="A48" s="14"/>
      <c r="B48" s="118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6"/>
    </row>
    <row r="49" spans="1:19" ht="15" customHeight="1" x14ac:dyDescent="0.25">
      <c r="A49" s="14"/>
      <c r="B49" s="118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6"/>
    </row>
    <row r="50" spans="1:19" ht="15" customHeight="1" x14ac:dyDescent="0.25">
      <c r="A50" s="80"/>
      <c r="B50" s="54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6"/>
    </row>
    <row r="51" spans="1:19" ht="15" customHeight="1" x14ac:dyDescent="0.25">
      <c r="A51" s="80"/>
      <c r="B51" s="59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"/>
    </row>
    <row r="52" spans="1:19" ht="15" customHeight="1" x14ac:dyDescent="0.25">
      <c r="A52" s="80"/>
      <c r="B52" s="54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6"/>
    </row>
    <row r="53" spans="1:19" x14ac:dyDescent="0.25">
      <c r="A53" s="15"/>
      <c r="S53" s="6"/>
    </row>
    <row r="54" spans="1:19" ht="15" customHeight="1" x14ac:dyDescent="0.25">
      <c r="A54" s="127" t="s">
        <v>163</v>
      </c>
      <c r="B54" s="118"/>
      <c r="C54" s="118"/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6"/>
    </row>
    <row r="55" spans="1:19" x14ac:dyDescent="0.25">
      <c r="A55" s="127"/>
      <c r="B55" s="118"/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6"/>
    </row>
    <row r="56" spans="1:19" x14ac:dyDescent="0.25">
      <c r="A56" s="127"/>
      <c r="B56" s="118"/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6"/>
    </row>
    <row r="57" spans="1:19" x14ac:dyDescent="0.25">
      <c r="A57" s="127"/>
      <c r="B57" s="118"/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6"/>
    </row>
    <row r="58" spans="1:19" x14ac:dyDescent="0.25">
      <c r="A58" s="127"/>
      <c r="B58" s="118"/>
      <c r="C58" s="118"/>
      <c r="D58" s="118"/>
      <c r="E58" s="118"/>
      <c r="F58" s="118"/>
      <c r="G58" s="118"/>
      <c r="H58" s="118"/>
      <c r="I58" s="118"/>
      <c r="J58" s="118"/>
      <c r="K58" s="118"/>
      <c r="L58" s="118"/>
      <c r="M58" s="118"/>
      <c r="N58" s="118"/>
      <c r="O58" s="118"/>
      <c r="P58" s="118"/>
      <c r="Q58" s="118"/>
      <c r="R58" s="118"/>
      <c r="S58" s="6"/>
    </row>
    <row r="59" spans="1:19" x14ac:dyDescent="0.25">
      <c r="A59" s="127"/>
      <c r="B59" s="118"/>
      <c r="C59" s="118"/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6"/>
    </row>
    <row r="60" spans="1:19" x14ac:dyDescent="0.25">
      <c r="A60" s="127"/>
      <c r="B60" s="118"/>
      <c r="C60" s="118"/>
      <c r="D60" s="118"/>
      <c r="E60" s="118"/>
      <c r="F60" s="118"/>
      <c r="G60" s="118"/>
      <c r="H60" s="118"/>
      <c r="I60" s="118"/>
      <c r="J60" s="118"/>
      <c r="K60" s="118"/>
      <c r="L60" s="118"/>
      <c r="M60" s="118"/>
      <c r="N60" s="118"/>
      <c r="O60" s="118"/>
      <c r="P60" s="118"/>
      <c r="Q60" s="118"/>
      <c r="R60" s="118"/>
      <c r="S60" s="6"/>
    </row>
    <row r="61" spans="1:19" x14ac:dyDescent="0.25">
      <c r="A61" s="127"/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6"/>
    </row>
    <row r="62" spans="1:19" x14ac:dyDescent="0.25">
      <c r="A62" s="127"/>
      <c r="B62" s="118"/>
      <c r="C62" s="118"/>
      <c r="D62" s="118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6"/>
    </row>
    <row r="63" spans="1:19" x14ac:dyDescent="0.25">
      <c r="A63" s="127"/>
      <c r="B63" s="118"/>
      <c r="C63" s="118"/>
      <c r="D63" s="118"/>
      <c r="E63" s="118"/>
      <c r="F63" s="118"/>
      <c r="G63" s="118"/>
      <c r="H63" s="118"/>
      <c r="I63" s="118"/>
      <c r="J63" s="118"/>
      <c r="K63" s="118"/>
      <c r="L63" s="118"/>
      <c r="M63" s="118"/>
      <c r="N63" s="118"/>
      <c r="O63" s="118"/>
      <c r="P63" s="118"/>
      <c r="Q63" s="118"/>
      <c r="R63" s="118"/>
      <c r="S63" s="6"/>
    </row>
    <row r="64" spans="1:19" x14ac:dyDescent="0.25">
      <c r="A64" s="127"/>
      <c r="B64" s="118"/>
      <c r="C64" s="118"/>
      <c r="D64" s="118"/>
      <c r="E64" s="118"/>
      <c r="F64" s="118"/>
      <c r="G64" s="118"/>
      <c r="H64" s="118"/>
      <c r="I64" s="118"/>
      <c r="J64" s="118"/>
      <c r="K64" s="118"/>
      <c r="L64" s="118"/>
      <c r="M64" s="118"/>
      <c r="N64" s="118"/>
      <c r="O64" s="118"/>
      <c r="P64" s="118"/>
      <c r="Q64" s="118"/>
      <c r="R64" s="118"/>
      <c r="S64" s="6"/>
    </row>
    <row r="65" spans="1:19" x14ac:dyDescent="0.25">
      <c r="A65" s="127"/>
      <c r="B65" s="118"/>
      <c r="C65" s="118"/>
      <c r="D65" s="118"/>
      <c r="E65" s="118"/>
      <c r="F65" s="118"/>
      <c r="G65" s="118"/>
      <c r="H65" s="118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6"/>
    </row>
    <row r="66" spans="1:19" x14ac:dyDescent="0.25">
      <c r="A66" s="127"/>
      <c r="B66" s="118"/>
      <c r="C66" s="118"/>
      <c r="D66" s="118"/>
      <c r="E66" s="118"/>
      <c r="F66" s="118"/>
      <c r="G66" s="118"/>
      <c r="H66" s="118"/>
      <c r="I66" s="118"/>
      <c r="J66" s="118"/>
      <c r="K66" s="118"/>
      <c r="L66" s="118"/>
      <c r="M66" s="118"/>
      <c r="N66" s="118"/>
      <c r="O66" s="118"/>
      <c r="P66" s="118"/>
      <c r="Q66" s="118"/>
      <c r="R66" s="118"/>
      <c r="S66" s="6"/>
    </row>
    <row r="67" spans="1:19" x14ac:dyDescent="0.25">
      <c r="A67" s="127"/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6"/>
    </row>
    <row r="68" spans="1:19" x14ac:dyDescent="0.25">
      <c r="A68" s="127"/>
      <c r="B68" s="118"/>
      <c r="C68" s="118"/>
      <c r="D68" s="118"/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118"/>
      <c r="Q68" s="118"/>
      <c r="R68" s="118"/>
      <c r="S68" s="6"/>
    </row>
    <row r="69" spans="1:19" x14ac:dyDescent="0.25">
      <c r="A69" s="127"/>
      <c r="B69" s="118"/>
      <c r="C69" s="118"/>
      <c r="D69" s="118"/>
      <c r="E69" s="118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118"/>
      <c r="Q69" s="118"/>
      <c r="R69" s="118"/>
      <c r="S69" s="6"/>
    </row>
    <row r="70" spans="1:19" x14ac:dyDescent="0.25">
      <c r="A70" s="127"/>
      <c r="B70" s="118"/>
      <c r="C70" s="118"/>
      <c r="D70" s="118"/>
      <c r="E70" s="118"/>
      <c r="F70" s="118"/>
      <c r="G70" s="118"/>
      <c r="H70" s="118"/>
      <c r="I70" s="118"/>
      <c r="J70" s="118"/>
      <c r="K70" s="118"/>
      <c r="L70" s="118"/>
      <c r="M70" s="118"/>
      <c r="N70" s="118"/>
      <c r="O70" s="118"/>
      <c r="P70" s="118"/>
      <c r="Q70" s="118"/>
      <c r="R70" s="118"/>
      <c r="S70" s="6"/>
    </row>
    <row r="71" spans="1:19" x14ac:dyDescent="0.25">
      <c r="A71" s="127"/>
      <c r="B71" s="118"/>
      <c r="C71" s="118"/>
      <c r="D71" s="118"/>
      <c r="E71" s="118"/>
      <c r="F71" s="118"/>
      <c r="G71" s="118"/>
      <c r="H71" s="118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6"/>
    </row>
    <row r="72" spans="1:19" x14ac:dyDescent="0.25">
      <c r="A72" s="127"/>
      <c r="B72" s="118"/>
      <c r="C72" s="118"/>
      <c r="D72" s="118"/>
      <c r="E72" s="118"/>
      <c r="F72" s="118"/>
      <c r="G72" s="118"/>
      <c r="H72" s="118"/>
      <c r="I72" s="118"/>
      <c r="J72" s="118"/>
      <c r="K72" s="118"/>
      <c r="L72" s="118"/>
      <c r="M72" s="118"/>
      <c r="N72" s="118"/>
      <c r="O72" s="118"/>
      <c r="P72" s="118"/>
      <c r="Q72" s="118"/>
      <c r="R72" s="118"/>
      <c r="S72" s="6"/>
    </row>
    <row r="73" spans="1:19" x14ac:dyDescent="0.25">
      <c r="A73" s="127"/>
      <c r="B73" s="118"/>
      <c r="C73" s="118"/>
      <c r="D73" s="118"/>
      <c r="E73" s="118"/>
      <c r="F73" s="118"/>
      <c r="G73" s="118"/>
      <c r="H73" s="118"/>
      <c r="I73" s="118"/>
      <c r="J73" s="118"/>
      <c r="K73" s="118"/>
      <c r="L73" s="118"/>
      <c r="M73" s="118"/>
      <c r="N73" s="118"/>
      <c r="O73" s="118"/>
      <c r="P73" s="118"/>
      <c r="Q73" s="118"/>
      <c r="R73" s="118"/>
      <c r="S73" s="6"/>
    </row>
    <row r="74" spans="1:19" x14ac:dyDescent="0.25">
      <c r="A74" s="127"/>
      <c r="B74" s="118"/>
      <c r="C74" s="118"/>
      <c r="D74" s="118"/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6"/>
    </row>
    <row r="75" spans="1:19" x14ac:dyDescent="0.25">
      <c r="A75" s="127"/>
      <c r="B75" s="118"/>
      <c r="C75" s="118"/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6"/>
    </row>
    <row r="76" spans="1:19" x14ac:dyDescent="0.25">
      <c r="A76" s="127"/>
      <c r="B76" s="118"/>
      <c r="C76" s="118"/>
      <c r="D76" s="118"/>
      <c r="E76" s="118"/>
      <c r="F76" s="118"/>
      <c r="G76" s="118"/>
      <c r="H76" s="118"/>
      <c r="I76" s="118"/>
      <c r="J76" s="118"/>
      <c r="K76" s="118"/>
      <c r="L76" s="118"/>
      <c r="M76" s="118"/>
      <c r="N76" s="118"/>
      <c r="O76" s="118"/>
      <c r="P76" s="118"/>
      <c r="Q76" s="118"/>
      <c r="R76" s="118"/>
      <c r="S76" s="6"/>
    </row>
    <row r="77" spans="1:19" x14ac:dyDescent="0.25">
      <c r="A77" s="127"/>
      <c r="B77" s="118"/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6"/>
    </row>
    <row r="78" spans="1:19" x14ac:dyDescent="0.25">
      <c r="A78" s="127"/>
      <c r="B78" s="118"/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6"/>
    </row>
    <row r="79" spans="1:19" x14ac:dyDescent="0.25">
      <c r="A79" s="127"/>
      <c r="B79" s="118"/>
      <c r="C79" s="118"/>
      <c r="D79" s="118"/>
      <c r="E79" s="118"/>
      <c r="F79" s="118"/>
      <c r="G79" s="118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6"/>
    </row>
    <row r="80" spans="1:19" x14ac:dyDescent="0.25">
      <c r="A80" s="127"/>
      <c r="B80" s="118"/>
      <c r="C80" s="118"/>
      <c r="D80" s="118"/>
      <c r="E80" s="118"/>
      <c r="F80" s="118"/>
      <c r="G80" s="118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6"/>
    </row>
    <row r="81" spans="1:26" x14ac:dyDescent="0.25">
      <c r="A81" s="127"/>
      <c r="B81" s="118"/>
      <c r="C81" s="118"/>
      <c r="D81" s="118"/>
      <c r="E81" s="118"/>
      <c r="F81" s="118"/>
      <c r="G81" s="118"/>
      <c r="H81" s="118"/>
      <c r="I81" s="118"/>
      <c r="J81" s="118"/>
      <c r="K81" s="118"/>
      <c r="L81" s="118"/>
      <c r="M81" s="118"/>
      <c r="N81" s="118"/>
      <c r="O81" s="118"/>
      <c r="P81" s="118"/>
      <c r="Q81" s="118"/>
      <c r="R81" s="118"/>
      <c r="S81" s="6"/>
    </row>
    <row r="82" spans="1:26" x14ac:dyDescent="0.25">
      <c r="A82" s="127"/>
      <c r="B82" s="118"/>
      <c r="C82" s="118"/>
      <c r="D82" s="118"/>
      <c r="E82" s="118"/>
      <c r="F82" s="118"/>
      <c r="G82" s="118"/>
      <c r="H82" s="118"/>
      <c r="I82" s="118"/>
      <c r="J82" s="118"/>
      <c r="K82" s="118"/>
      <c r="L82" s="118"/>
      <c r="M82" s="118"/>
      <c r="N82" s="118"/>
      <c r="O82" s="118"/>
      <c r="P82" s="118"/>
      <c r="Q82" s="118"/>
      <c r="R82" s="118"/>
      <c r="S82" s="6"/>
    </row>
    <row r="83" spans="1:26" x14ac:dyDescent="0.25">
      <c r="A83" s="127"/>
      <c r="B83" s="118"/>
      <c r="C83" s="118"/>
      <c r="D83" s="118"/>
      <c r="E83" s="118"/>
      <c r="F83" s="118"/>
      <c r="G83" s="118"/>
      <c r="H83" s="118"/>
      <c r="I83" s="118"/>
      <c r="J83" s="118"/>
      <c r="K83" s="118"/>
      <c r="L83" s="118"/>
      <c r="M83" s="118"/>
      <c r="N83" s="118"/>
      <c r="O83" s="118"/>
      <c r="P83" s="118"/>
      <c r="Q83" s="118"/>
      <c r="R83" s="118"/>
      <c r="S83" s="6"/>
    </row>
    <row r="84" spans="1:26" x14ac:dyDescent="0.25">
      <c r="A84" s="127"/>
      <c r="B84" s="118"/>
      <c r="C84" s="118"/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118"/>
      <c r="Q84" s="118"/>
      <c r="R84" s="118"/>
      <c r="S84" s="6"/>
    </row>
    <row r="85" spans="1:26" x14ac:dyDescent="0.25">
      <c r="A85" s="127"/>
      <c r="B85" s="118"/>
      <c r="C85" s="118"/>
      <c r="D85" s="118"/>
      <c r="E85" s="118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118"/>
      <c r="Q85" s="118"/>
      <c r="R85" s="118"/>
      <c r="S85" s="6"/>
    </row>
    <row r="86" spans="1:26" x14ac:dyDescent="0.25">
      <c r="A86" s="127"/>
      <c r="B86" s="118"/>
      <c r="C86" s="118"/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8"/>
      <c r="Q86" s="118"/>
      <c r="R86" s="118"/>
      <c r="S86" s="6"/>
      <c r="Z86" s="30"/>
    </row>
    <row r="87" spans="1:26" x14ac:dyDescent="0.25">
      <c r="A87" s="127"/>
      <c r="B87" s="118"/>
      <c r="C87" s="118"/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118"/>
      <c r="Q87" s="118"/>
      <c r="R87" s="118"/>
      <c r="S87" s="6"/>
    </row>
    <row r="88" spans="1:26" x14ac:dyDescent="0.25">
      <c r="A88" s="127"/>
      <c r="B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6"/>
    </row>
    <row r="89" spans="1:26" x14ac:dyDescent="0.25">
      <c r="A89" s="127"/>
      <c r="B89" s="11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18"/>
      <c r="O89" s="118"/>
      <c r="P89" s="118"/>
      <c r="Q89" s="118"/>
      <c r="R89" s="118"/>
      <c r="S89" s="6"/>
    </row>
    <row r="90" spans="1:26" x14ac:dyDescent="0.25">
      <c r="A90" s="127"/>
      <c r="B90" s="118"/>
      <c r="C90" s="118"/>
      <c r="D90" s="118"/>
      <c r="E90" s="118"/>
      <c r="F90" s="118"/>
      <c r="G90" s="118"/>
      <c r="H90" s="118"/>
      <c r="I90" s="118"/>
      <c r="J90" s="118"/>
      <c r="K90" s="118"/>
      <c r="L90" s="118"/>
      <c r="M90" s="118"/>
      <c r="N90" s="118"/>
      <c r="O90" s="118"/>
      <c r="P90" s="118"/>
      <c r="Q90" s="118"/>
      <c r="R90" s="118"/>
      <c r="S90" s="76"/>
    </row>
    <row r="91" spans="1:26" x14ac:dyDescent="0.25">
      <c r="A91" s="127"/>
      <c r="B91" s="118"/>
      <c r="C91" s="118"/>
      <c r="D91" s="118"/>
      <c r="E91" s="118"/>
      <c r="F91" s="118"/>
      <c r="G91" s="118"/>
      <c r="H91" s="118"/>
      <c r="I91" s="118"/>
      <c r="J91" s="118"/>
      <c r="K91" s="118"/>
      <c r="L91" s="118"/>
      <c r="M91" s="118"/>
      <c r="N91" s="118"/>
      <c r="O91" s="118"/>
      <c r="P91" s="118"/>
      <c r="Q91" s="118"/>
      <c r="R91" s="118"/>
      <c r="S91" s="77"/>
    </row>
    <row r="92" spans="1:26" ht="15" customHeight="1" x14ac:dyDescent="0.25">
      <c r="A92" s="127"/>
      <c r="B92" s="118"/>
      <c r="C92" s="118"/>
      <c r="D92" s="118"/>
      <c r="E92" s="118"/>
      <c r="F92" s="118"/>
      <c r="G92" s="118"/>
      <c r="H92" s="118"/>
      <c r="I92" s="118"/>
      <c r="J92" s="118"/>
      <c r="K92" s="118"/>
      <c r="L92" s="118"/>
      <c r="M92" s="118"/>
      <c r="N92" s="118"/>
      <c r="O92" s="118"/>
      <c r="P92" s="118"/>
      <c r="Q92" s="118"/>
      <c r="R92" s="118"/>
      <c r="S92" s="77"/>
    </row>
    <row r="93" spans="1:26" ht="15" customHeight="1" x14ac:dyDescent="0.25">
      <c r="A93" s="14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77"/>
    </row>
    <row r="94" spans="1:26" ht="15" customHeight="1" x14ac:dyDescent="0.25">
      <c r="A94" s="14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77"/>
    </row>
    <row r="95" spans="1:26" ht="15" customHeight="1" x14ac:dyDescent="0.25">
      <c r="A95" s="80"/>
      <c r="B95" s="54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77"/>
    </row>
    <row r="96" spans="1:26" ht="15" customHeight="1" x14ac:dyDescent="0.25">
      <c r="A96" s="80"/>
      <c r="B96" s="54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77"/>
    </row>
    <row r="97" spans="1:19" ht="15" customHeight="1" x14ac:dyDescent="0.25">
      <c r="A97" s="80"/>
      <c r="B97" s="125"/>
      <c r="C97" s="125"/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77"/>
    </row>
    <row r="98" spans="1:19" ht="15" customHeight="1" x14ac:dyDescent="0.25">
      <c r="A98" s="82"/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77"/>
    </row>
    <row r="99" spans="1:19" ht="15" customHeight="1" x14ac:dyDescent="0.25">
      <c r="A99" s="128"/>
      <c r="B99" s="125"/>
      <c r="C99" s="125"/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6"/>
    </row>
    <row r="100" spans="1:19" ht="15" customHeight="1" x14ac:dyDescent="0.25">
      <c r="A100" s="128"/>
      <c r="B100" s="125"/>
      <c r="C100" s="125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6"/>
    </row>
    <row r="101" spans="1:19" ht="15" customHeight="1" x14ac:dyDescent="0.25">
      <c r="A101" s="128"/>
      <c r="B101" s="125"/>
      <c r="C101" s="125"/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6"/>
    </row>
    <row r="102" spans="1:19" ht="15" customHeight="1" x14ac:dyDescent="0.25">
      <c r="A102" s="128"/>
      <c r="B102" s="125"/>
      <c r="C102" s="125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6"/>
    </row>
    <row r="103" spans="1:19" ht="15" customHeight="1" x14ac:dyDescent="0.25">
      <c r="A103" s="128"/>
      <c r="B103" s="125"/>
      <c r="C103" s="125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6"/>
    </row>
    <row r="104" spans="1:19" ht="15" customHeight="1" x14ac:dyDescent="0.25">
      <c r="A104" s="128"/>
      <c r="B104" s="125"/>
      <c r="C104" s="125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6"/>
    </row>
    <row r="105" spans="1:19" ht="15" customHeight="1" x14ac:dyDescent="0.25">
      <c r="A105" s="128"/>
      <c r="B105" s="125"/>
      <c r="C105" s="125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6"/>
    </row>
    <row r="106" spans="1:19" ht="15" customHeight="1" x14ac:dyDescent="0.25">
      <c r="A106" s="128"/>
      <c r="B106" s="125"/>
      <c r="C106" s="125"/>
      <c r="D106" s="125"/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6"/>
    </row>
    <row r="107" spans="1:19" ht="15" customHeight="1" x14ac:dyDescent="0.25">
      <c r="A107" s="128"/>
      <c r="B107" s="125"/>
      <c r="C107" s="125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6"/>
    </row>
    <row r="108" spans="1:19" ht="15" customHeight="1" x14ac:dyDescent="0.25">
      <c r="A108" s="128"/>
      <c r="B108" s="125"/>
      <c r="C108" s="125"/>
      <c r="D108" s="125"/>
      <c r="E108" s="125"/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6"/>
    </row>
    <row r="109" spans="1:19" ht="15" customHeight="1" x14ac:dyDescent="0.25">
      <c r="A109" s="128"/>
      <c r="B109" s="125"/>
      <c r="C109" s="125"/>
      <c r="D109" s="125"/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6"/>
    </row>
    <row r="110" spans="1:19" ht="15" customHeight="1" x14ac:dyDescent="0.25">
      <c r="A110" s="128"/>
      <c r="B110" s="125"/>
      <c r="C110" s="125"/>
      <c r="D110" s="125"/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6"/>
    </row>
    <row r="111" spans="1:19" ht="15" customHeight="1" x14ac:dyDescent="0.25">
      <c r="A111" s="128"/>
      <c r="B111" s="125"/>
      <c r="C111" s="125"/>
      <c r="D111" s="125"/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6"/>
    </row>
    <row r="112" spans="1:19" ht="15" customHeight="1" x14ac:dyDescent="0.25">
      <c r="A112" s="128"/>
      <c r="B112" s="125"/>
      <c r="C112" s="125"/>
      <c r="D112" s="125"/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6"/>
    </row>
    <row r="113" spans="1:19" ht="15" customHeight="1" x14ac:dyDescent="0.25">
      <c r="A113" s="128"/>
      <c r="B113" s="125"/>
      <c r="C113" s="125"/>
      <c r="D113" s="125"/>
      <c r="E113" s="125"/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6"/>
    </row>
    <row r="114" spans="1:19" ht="15" customHeight="1" x14ac:dyDescent="0.25">
      <c r="A114" s="128"/>
      <c r="B114" s="125"/>
      <c r="C114" s="125"/>
      <c r="D114" s="125"/>
      <c r="E114" s="125"/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6"/>
    </row>
    <row r="115" spans="1:19" ht="15" customHeight="1" x14ac:dyDescent="0.25">
      <c r="A115" s="128"/>
      <c r="B115" s="125"/>
      <c r="C115" s="125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6"/>
    </row>
    <row r="116" spans="1:19" ht="15" customHeight="1" x14ac:dyDescent="0.25">
      <c r="A116" s="128"/>
      <c r="B116" s="125"/>
      <c r="C116" s="125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6"/>
    </row>
    <row r="117" spans="1:19" ht="15" customHeight="1" x14ac:dyDescent="0.25">
      <c r="A117" s="128"/>
      <c r="B117" s="125"/>
      <c r="C117" s="125"/>
      <c r="D117" s="125"/>
      <c r="E117" s="125"/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6"/>
    </row>
    <row r="118" spans="1:19" ht="15" customHeight="1" x14ac:dyDescent="0.25">
      <c r="A118" s="128"/>
      <c r="B118" s="125"/>
      <c r="C118" s="125"/>
      <c r="D118" s="125"/>
      <c r="E118" s="125"/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6"/>
    </row>
    <row r="119" spans="1:19" ht="15" customHeight="1" x14ac:dyDescent="0.25">
      <c r="A119" s="128"/>
      <c r="B119" s="125"/>
      <c r="C119" s="125"/>
      <c r="D119" s="125"/>
      <c r="E119" s="125"/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6"/>
    </row>
    <row r="120" spans="1:19" ht="15" customHeight="1" x14ac:dyDescent="0.25">
      <c r="A120" s="128"/>
      <c r="B120" s="125"/>
      <c r="C120" s="125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6"/>
    </row>
    <row r="121" spans="1:19" ht="15" customHeight="1" x14ac:dyDescent="0.25">
      <c r="A121" s="128"/>
      <c r="B121" s="125"/>
      <c r="C121" s="125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6"/>
    </row>
    <row r="122" spans="1:19" ht="15" customHeight="1" x14ac:dyDescent="0.25">
      <c r="A122" s="128"/>
      <c r="B122" s="125"/>
      <c r="C122" s="125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6"/>
    </row>
    <row r="123" spans="1:19" ht="15" customHeight="1" x14ac:dyDescent="0.25">
      <c r="A123" s="128"/>
      <c r="B123" s="125"/>
      <c r="C123" s="125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6"/>
    </row>
    <row r="124" spans="1:19" ht="15" customHeight="1" x14ac:dyDescent="0.25">
      <c r="A124" s="128"/>
      <c r="B124" s="125"/>
      <c r="C124" s="125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6"/>
    </row>
    <row r="125" spans="1:19" ht="15" customHeight="1" x14ac:dyDescent="0.25">
      <c r="A125" s="128"/>
      <c r="B125" s="125"/>
      <c r="C125" s="125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6"/>
    </row>
    <row r="126" spans="1:19" ht="15" customHeight="1" x14ac:dyDescent="0.25">
      <c r="A126" s="128"/>
      <c r="B126" s="125"/>
      <c r="C126" s="125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6"/>
    </row>
    <row r="127" spans="1:19" ht="15" customHeight="1" x14ac:dyDescent="0.25">
      <c r="A127" s="128"/>
      <c r="B127" s="125"/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6"/>
    </row>
    <row r="128" spans="1:19" ht="15" customHeight="1" x14ac:dyDescent="0.25">
      <c r="A128" s="128"/>
      <c r="B128" s="125"/>
      <c r="C128" s="125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6"/>
    </row>
    <row r="129" spans="1:27" ht="15" customHeight="1" x14ac:dyDescent="0.25">
      <c r="A129" s="128"/>
      <c r="B129" s="125"/>
      <c r="C129" s="125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6"/>
    </row>
    <row r="130" spans="1:27" ht="15" customHeight="1" x14ac:dyDescent="0.25">
      <c r="A130" s="128"/>
      <c r="B130" s="125"/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6"/>
    </row>
    <row r="131" spans="1:27" ht="15" customHeight="1" x14ac:dyDescent="0.25">
      <c r="A131" s="128"/>
      <c r="B131" s="125"/>
      <c r="C131" s="125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6"/>
    </row>
    <row r="132" spans="1:27" ht="15" customHeight="1" x14ac:dyDescent="0.25">
      <c r="A132" s="5"/>
      <c r="B132" s="125"/>
      <c r="C132" s="125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6"/>
    </row>
    <row r="133" spans="1:27" ht="15" customHeight="1" x14ac:dyDescent="0.25">
      <c r="A133" s="5"/>
      <c r="B133" s="125"/>
      <c r="C133" s="125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6"/>
    </row>
    <row r="134" spans="1:27" ht="15" customHeight="1" x14ac:dyDescent="0.25">
      <c r="A134" s="5"/>
      <c r="B134" s="125"/>
      <c r="C134" s="125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6"/>
    </row>
    <row r="135" spans="1:27" ht="15" customHeight="1" x14ac:dyDescent="0.25">
      <c r="A135" s="5"/>
      <c r="B135" s="125"/>
      <c r="C135" s="125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6"/>
    </row>
    <row r="136" spans="1:27" x14ac:dyDescent="0.25">
      <c r="A136" s="15"/>
      <c r="S136" s="6"/>
    </row>
    <row r="137" spans="1:27" ht="15" customHeight="1" x14ac:dyDescent="0.25">
      <c r="A137" s="14"/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6"/>
    </row>
    <row r="138" spans="1:27" ht="15" customHeight="1" x14ac:dyDescent="0.25">
      <c r="A138" s="14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6"/>
    </row>
    <row r="139" spans="1:27" ht="15" customHeight="1" x14ac:dyDescent="0.25">
      <c r="A139" s="14"/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6"/>
    </row>
    <row r="140" spans="1:27" ht="15" customHeight="1" x14ac:dyDescent="0.25">
      <c r="A140" s="80"/>
      <c r="B140" s="54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76"/>
    </row>
    <row r="141" spans="1:27" ht="15" customHeight="1" x14ac:dyDescent="0.25">
      <c r="A141" s="80"/>
      <c r="B141" s="54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76"/>
    </row>
    <row r="142" spans="1:27" ht="15" customHeight="1" x14ac:dyDescent="0.25">
      <c r="A142" s="83"/>
      <c r="B142" s="59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78"/>
    </row>
    <row r="143" spans="1:27" x14ac:dyDescent="0.25">
      <c r="G143" s="30"/>
      <c r="AA143" s="2"/>
    </row>
    <row r="144" spans="1:27" ht="15" customHeight="1" x14ac:dyDescent="0.25">
      <c r="G144" s="30"/>
      <c r="AA144" s="2"/>
    </row>
    <row r="145" spans="7:27" x14ac:dyDescent="0.25">
      <c r="G145" s="30"/>
      <c r="AA145" s="2"/>
    </row>
    <row r="146" spans="7:27" x14ac:dyDescent="0.25">
      <c r="G146" s="30"/>
      <c r="AA146" s="2"/>
    </row>
    <row r="147" spans="7:27" x14ac:dyDescent="0.25">
      <c r="G147" s="30"/>
      <c r="AA147" s="2"/>
    </row>
    <row r="148" spans="7:27" x14ac:dyDescent="0.25">
      <c r="G148" s="30"/>
      <c r="AA148" s="2"/>
    </row>
    <row r="149" spans="7:27" x14ac:dyDescent="0.25">
      <c r="G149" s="30"/>
      <c r="AA149" s="2"/>
    </row>
    <row r="150" spans="7:27" x14ac:dyDescent="0.25">
      <c r="G150" s="30"/>
      <c r="AA150" s="2"/>
    </row>
    <row r="151" spans="7:27" x14ac:dyDescent="0.25">
      <c r="G151" s="30"/>
      <c r="AA151" s="2"/>
    </row>
    <row r="152" spans="7:27" x14ac:dyDescent="0.25">
      <c r="G152" s="30"/>
      <c r="AA152" s="2"/>
    </row>
    <row r="153" spans="7:27" x14ac:dyDescent="0.25">
      <c r="G153" s="30"/>
      <c r="AA153" s="2"/>
    </row>
    <row r="154" spans="7:27" x14ac:dyDescent="0.25">
      <c r="G154" s="30"/>
      <c r="AA154" s="2"/>
    </row>
    <row r="155" spans="7:27" x14ac:dyDescent="0.25">
      <c r="G155" s="30"/>
      <c r="AA155" s="2"/>
    </row>
    <row r="156" spans="7:27" x14ac:dyDescent="0.25">
      <c r="G156" s="30"/>
      <c r="AA156" s="2"/>
    </row>
    <row r="157" spans="7:27" x14ac:dyDescent="0.25">
      <c r="G157" s="30"/>
      <c r="AA157" s="2"/>
    </row>
    <row r="158" spans="7:27" x14ac:dyDescent="0.25">
      <c r="G158" s="30"/>
      <c r="AA158" s="2"/>
    </row>
    <row r="159" spans="7:27" x14ac:dyDescent="0.25">
      <c r="G159" s="30"/>
      <c r="AA159" s="2"/>
    </row>
    <row r="160" spans="7:27" x14ac:dyDescent="0.25">
      <c r="G160" s="30"/>
      <c r="AA160" s="2"/>
    </row>
    <row r="161" spans="7:27" x14ac:dyDescent="0.25">
      <c r="G161" s="30"/>
      <c r="AA161" s="2"/>
    </row>
    <row r="162" spans="7:27" x14ac:dyDescent="0.25">
      <c r="G162" s="30"/>
      <c r="AA162" s="2"/>
    </row>
    <row r="163" spans="7:27" x14ac:dyDescent="0.25">
      <c r="G163" s="30"/>
      <c r="AA163" s="2"/>
    </row>
    <row r="164" spans="7:27" x14ac:dyDescent="0.25">
      <c r="G164" s="30"/>
      <c r="AA164" s="2"/>
    </row>
    <row r="165" spans="7:27" x14ac:dyDescent="0.25">
      <c r="G165" s="30"/>
      <c r="AA165" s="2"/>
    </row>
    <row r="166" spans="7:27" x14ac:dyDescent="0.25">
      <c r="G166" s="30"/>
      <c r="AA166" s="2"/>
    </row>
    <row r="167" spans="7:27" x14ac:dyDescent="0.25">
      <c r="G167" s="30"/>
      <c r="AA167" s="2"/>
    </row>
    <row r="168" spans="7:27" x14ac:dyDescent="0.25">
      <c r="G168" s="30"/>
      <c r="AA168" s="2"/>
    </row>
    <row r="169" spans="7:27" x14ac:dyDescent="0.25">
      <c r="G169" s="30"/>
      <c r="AA169" s="2"/>
    </row>
    <row r="170" spans="7:27" x14ac:dyDescent="0.25">
      <c r="G170" s="30"/>
      <c r="AA170" s="2"/>
    </row>
    <row r="171" spans="7:27" x14ac:dyDescent="0.25">
      <c r="G171" s="30"/>
      <c r="AA171" s="2"/>
    </row>
    <row r="172" spans="7:27" x14ac:dyDescent="0.25">
      <c r="G172" s="30"/>
      <c r="AA172" s="2"/>
    </row>
    <row r="173" spans="7:27" x14ac:dyDescent="0.25">
      <c r="G173" s="30"/>
      <c r="AA173" s="2"/>
    </row>
    <row r="174" spans="7:27" x14ac:dyDescent="0.25">
      <c r="G174" s="30"/>
      <c r="AA174" s="2"/>
    </row>
    <row r="175" spans="7:27" x14ac:dyDescent="0.25">
      <c r="G175" s="30"/>
      <c r="AA175" s="2"/>
    </row>
    <row r="176" spans="7:27" x14ac:dyDescent="0.25">
      <c r="G176" s="30"/>
      <c r="AA176" s="2"/>
    </row>
    <row r="177" spans="7:27" x14ac:dyDescent="0.25">
      <c r="G177" s="30"/>
      <c r="AA177" s="2"/>
    </row>
    <row r="178" spans="7:27" x14ac:dyDescent="0.25">
      <c r="G178" s="30"/>
      <c r="AA178" s="2"/>
    </row>
    <row r="179" spans="7:27" x14ac:dyDescent="0.25">
      <c r="G179" s="30"/>
      <c r="AA179" s="2"/>
    </row>
    <row r="180" spans="7:27" x14ac:dyDescent="0.25">
      <c r="G180" s="30"/>
      <c r="AA180" s="2"/>
    </row>
    <row r="181" spans="7:27" x14ac:dyDescent="0.25">
      <c r="G181" s="30"/>
      <c r="AA181" s="2"/>
    </row>
    <row r="182" spans="7:27" ht="15" customHeight="1" x14ac:dyDescent="0.25">
      <c r="G182" s="30"/>
      <c r="AA182" s="2"/>
    </row>
    <row r="183" spans="7:27" ht="15" customHeight="1" x14ac:dyDescent="0.25">
      <c r="G183" s="30"/>
      <c r="AA183" s="2"/>
    </row>
    <row r="184" spans="7:27" ht="15" customHeight="1" x14ac:dyDescent="0.25">
      <c r="G184" s="30"/>
      <c r="AA184" s="2"/>
    </row>
    <row r="185" spans="7:27" ht="15" customHeight="1" x14ac:dyDescent="0.25">
      <c r="G185" s="30"/>
      <c r="AA185" s="2"/>
    </row>
    <row r="186" spans="7:27" ht="15" customHeight="1" x14ac:dyDescent="0.25">
      <c r="G186" s="30"/>
      <c r="AA186" s="2"/>
    </row>
    <row r="187" spans="7:27" ht="15" customHeight="1" x14ac:dyDescent="0.25">
      <c r="G187" s="30"/>
      <c r="AA187" s="2"/>
    </row>
    <row r="188" spans="7:27" x14ac:dyDescent="0.25">
      <c r="G188" s="30"/>
      <c r="AA188" s="2"/>
    </row>
    <row r="189" spans="7:27" ht="15" customHeight="1" x14ac:dyDescent="0.25">
      <c r="G189" s="30"/>
      <c r="AA189" s="2"/>
    </row>
    <row r="190" spans="7:27" x14ac:dyDescent="0.25">
      <c r="G190" s="30"/>
      <c r="AA190" s="2"/>
    </row>
    <row r="191" spans="7:27" x14ac:dyDescent="0.25">
      <c r="G191" s="30"/>
      <c r="AA191" s="2"/>
    </row>
    <row r="192" spans="7:27" x14ac:dyDescent="0.25">
      <c r="G192" s="30"/>
      <c r="AA192" s="2"/>
    </row>
    <row r="193" spans="7:27" x14ac:dyDescent="0.25">
      <c r="G193" s="30"/>
      <c r="AA193" s="2"/>
    </row>
    <row r="194" spans="7:27" x14ac:dyDescent="0.25">
      <c r="G194" s="30"/>
      <c r="AA194" s="2"/>
    </row>
    <row r="195" spans="7:27" x14ac:dyDescent="0.25">
      <c r="G195" s="30"/>
      <c r="AA195" s="2"/>
    </row>
    <row r="196" spans="7:27" x14ac:dyDescent="0.25">
      <c r="G196" s="30"/>
      <c r="AA196" s="2"/>
    </row>
    <row r="197" spans="7:27" x14ac:dyDescent="0.25">
      <c r="G197" s="30"/>
      <c r="AA197" s="2"/>
    </row>
    <row r="198" spans="7:27" x14ac:dyDescent="0.25">
      <c r="G198" s="30"/>
      <c r="AA198" s="2"/>
    </row>
    <row r="199" spans="7:27" x14ac:dyDescent="0.25">
      <c r="G199" s="30"/>
      <c r="AA199" s="2"/>
    </row>
    <row r="200" spans="7:27" x14ac:dyDescent="0.25">
      <c r="G200" s="30"/>
      <c r="AA200" s="2"/>
    </row>
    <row r="201" spans="7:27" x14ac:dyDescent="0.25">
      <c r="G201" s="30"/>
      <c r="AA201" s="2"/>
    </row>
    <row r="202" spans="7:27" x14ac:dyDescent="0.25">
      <c r="G202" s="30"/>
      <c r="AA202" s="2"/>
    </row>
    <row r="203" spans="7:27" x14ac:dyDescent="0.25">
      <c r="G203" s="30"/>
      <c r="AA203" s="2"/>
    </row>
    <row r="204" spans="7:27" x14ac:dyDescent="0.25">
      <c r="G204" s="30"/>
      <c r="AA204" s="2"/>
    </row>
    <row r="205" spans="7:27" x14ac:dyDescent="0.25">
      <c r="G205" s="30"/>
      <c r="AA205" s="2"/>
    </row>
    <row r="206" spans="7:27" x14ac:dyDescent="0.25">
      <c r="G206" s="30"/>
      <c r="AA206" s="2"/>
    </row>
    <row r="207" spans="7:27" x14ac:dyDescent="0.25">
      <c r="G207" s="30"/>
      <c r="AA207" s="2"/>
    </row>
    <row r="208" spans="7:27" x14ac:dyDescent="0.25">
      <c r="G208" s="30"/>
      <c r="AA208" s="2"/>
    </row>
    <row r="209" spans="7:27" x14ac:dyDescent="0.25">
      <c r="G209" s="30"/>
      <c r="AA209" s="2"/>
    </row>
    <row r="210" spans="7:27" x14ac:dyDescent="0.25">
      <c r="G210" s="30"/>
      <c r="AA210" s="2"/>
    </row>
    <row r="211" spans="7:27" x14ac:dyDescent="0.25">
      <c r="G211" s="30"/>
      <c r="AA211" s="2"/>
    </row>
    <row r="212" spans="7:27" x14ac:dyDescent="0.25">
      <c r="G212" s="30"/>
      <c r="AA212" s="2"/>
    </row>
    <row r="213" spans="7:27" x14ac:dyDescent="0.25">
      <c r="G213" s="30"/>
      <c r="AA213" s="2"/>
    </row>
    <row r="214" spans="7:27" x14ac:dyDescent="0.25">
      <c r="G214" s="30"/>
      <c r="AA214" s="2"/>
    </row>
    <row r="215" spans="7:27" x14ac:dyDescent="0.25">
      <c r="G215" s="30"/>
      <c r="AA215" s="2"/>
    </row>
    <row r="216" spans="7:27" x14ac:dyDescent="0.25">
      <c r="G216" s="30"/>
      <c r="AA216" s="2"/>
    </row>
    <row r="217" spans="7:27" x14ac:dyDescent="0.25">
      <c r="G217" s="30"/>
      <c r="AA217" s="2"/>
    </row>
    <row r="218" spans="7:27" x14ac:dyDescent="0.25">
      <c r="G218" s="30"/>
      <c r="AA218" s="2"/>
    </row>
    <row r="219" spans="7:27" x14ac:dyDescent="0.25">
      <c r="G219" s="30"/>
      <c r="AA219" s="2"/>
    </row>
    <row r="220" spans="7:27" x14ac:dyDescent="0.25">
      <c r="G220" s="30"/>
      <c r="AA220" s="2"/>
    </row>
    <row r="221" spans="7:27" x14ac:dyDescent="0.25">
      <c r="G221" s="30"/>
      <c r="AA221" s="2"/>
    </row>
    <row r="222" spans="7:27" x14ac:dyDescent="0.25">
      <c r="G222" s="30"/>
      <c r="AA222" s="2"/>
    </row>
    <row r="223" spans="7:27" x14ac:dyDescent="0.25">
      <c r="G223" s="30"/>
      <c r="AA223" s="2"/>
    </row>
    <row r="224" spans="7:27" x14ac:dyDescent="0.25">
      <c r="G224" s="30"/>
      <c r="AA224" s="2"/>
    </row>
    <row r="225" spans="7:27" x14ac:dyDescent="0.25">
      <c r="G225" s="30"/>
      <c r="AA225" s="2"/>
    </row>
    <row r="226" spans="7:27" x14ac:dyDescent="0.25">
      <c r="G226" s="30"/>
      <c r="AA226" s="2"/>
    </row>
    <row r="227" spans="7:27" ht="15" customHeight="1" x14ac:dyDescent="0.25">
      <c r="G227" s="30"/>
      <c r="AA227" s="2"/>
    </row>
    <row r="228" spans="7:27" ht="15" customHeight="1" x14ac:dyDescent="0.25">
      <c r="G228" s="30"/>
      <c r="AA228" s="2"/>
    </row>
    <row r="229" spans="7:27" ht="15" customHeight="1" x14ac:dyDescent="0.25">
      <c r="G229" s="30"/>
      <c r="AA229" s="2"/>
    </row>
    <row r="230" spans="7:27" ht="15" customHeight="1" x14ac:dyDescent="0.25">
      <c r="G230" s="30"/>
      <c r="AA230" s="2"/>
    </row>
    <row r="231" spans="7:27" ht="15" customHeight="1" x14ac:dyDescent="0.25">
      <c r="G231" s="30"/>
      <c r="AA231" s="2"/>
    </row>
    <row r="232" spans="7:27" ht="15" customHeight="1" x14ac:dyDescent="0.25">
      <c r="G232" s="30"/>
      <c r="AA232" s="2"/>
    </row>
    <row r="233" spans="7:27" x14ac:dyDescent="0.25">
      <c r="G233" s="30"/>
      <c r="AA233" s="2"/>
    </row>
    <row r="234" spans="7:27" ht="15" customHeight="1" x14ac:dyDescent="0.25">
      <c r="G234" s="30"/>
      <c r="AA234" s="2"/>
    </row>
    <row r="235" spans="7:27" x14ac:dyDescent="0.25">
      <c r="G235" s="30"/>
      <c r="AA235" s="2"/>
    </row>
    <row r="236" spans="7:27" x14ac:dyDescent="0.25">
      <c r="G236" s="30"/>
      <c r="AA236" s="2"/>
    </row>
    <row r="237" spans="7:27" x14ac:dyDescent="0.25">
      <c r="G237" s="30"/>
      <c r="AA237" s="2"/>
    </row>
    <row r="238" spans="7:27" x14ac:dyDescent="0.25">
      <c r="G238" s="30"/>
      <c r="AA238" s="2"/>
    </row>
    <row r="239" spans="7:27" x14ac:dyDescent="0.25">
      <c r="G239" s="30"/>
      <c r="AA239" s="2"/>
    </row>
    <row r="240" spans="7:27" x14ac:dyDescent="0.25">
      <c r="G240" s="30"/>
      <c r="AA240" s="2"/>
    </row>
    <row r="241" spans="7:27" x14ac:dyDescent="0.25">
      <c r="G241" s="30"/>
      <c r="AA241" s="2"/>
    </row>
    <row r="242" spans="7:27" x14ac:dyDescent="0.25">
      <c r="G242" s="30"/>
      <c r="AA242" s="2"/>
    </row>
    <row r="243" spans="7:27" x14ac:dyDescent="0.25">
      <c r="G243" s="30"/>
      <c r="AA243" s="2"/>
    </row>
    <row r="244" spans="7:27" x14ac:dyDescent="0.25">
      <c r="G244" s="30"/>
      <c r="AA244" s="2"/>
    </row>
    <row r="245" spans="7:27" x14ac:dyDescent="0.25">
      <c r="G245" s="30"/>
      <c r="AA245" s="2"/>
    </row>
    <row r="246" spans="7:27" x14ac:dyDescent="0.25">
      <c r="G246" s="30"/>
      <c r="AA246" s="2"/>
    </row>
    <row r="247" spans="7:27" x14ac:dyDescent="0.25">
      <c r="G247" s="30"/>
      <c r="AA247" s="2"/>
    </row>
    <row r="248" spans="7:27" x14ac:dyDescent="0.25">
      <c r="G248" s="30"/>
      <c r="AA248" s="2"/>
    </row>
    <row r="249" spans="7:27" x14ac:dyDescent="0.25">
      <c r="G249" s="30"/>
      <c r="AA249" s="2"/>
    </row>
    <row r="250" spans="7:27" x14ac:dyDescent="0.25">
      <c r="G250" s="30"/>
      <c r="AA250" s="2"/>
    </row>
    <row r="251" spans="7:27" x14ac:dyDescent="0.25">
      <c r="G251" s="30"/>
      <c r="AA251" s="2"/>
    </row>
    <row r="252" spans="7:27" x14ac:dyDescent="0.25">
      <c r="G252" s="30"/>
      <c r="AA252" s="2"/>
    </row>
    <row r="253" spans="7:27" x14ac:dyDescent="0.25">
      <c r="G253" s="30"/>
      <c r="AA253" s="2"/>
    </row>
    <row r="254" spans="7:27" x14ac:dyDescent="0.25">
      <c r="G254" s="30"/>
      <c r="AA254" s="2"/>
    </row>
    <row r="255" spans="7:27" x14ac:dyDescent="0.25">
      <c r="G255" s="30"/>
      <c r="AA255" s="2"/>
    </row>
    <row r="256" spans="7:27" x14ac:dyDescent="0.25">
      <c r="G256" s="30"/>
      <c r="AA256" s="2"/>
    </row>
    <row r="257" spans="7:27" x14ac:dyDescent="0.25">
      <c r="G257" s="30"/>
      <c r="AA257" s="2"/>
    </row>
    <row r="258" spans="7:27" x14ac:dyDescent="0.25">
      <c r="G258" s="30"/>
      <c r="AA258" s="2"/>
    </row>
    <row r="259" spans="7:27" x14ac:dyDescent="0.25">
      <c r="G259" s="30"/>
      <c r="AA259" s="2"/>
    </row>
    <row r="260" spans="7:27" x14ac:dyDescent="0.25">
      <c r="G260" s="30"/>
      <c r="AA260" s="2"/>
    </row>
    <row r="261" spans="7:27" x14ac:dyDescent="0.25">
      <c r="G261" s="30"/>
      <c r="AA261" s="2"/>
    </row>
    <row r="262" spans="7:27" x14ac:dyDescent="0.25">
      <c r="G262" s="30"/>
      <c r="AA262" s="2"/>
    </row>
    <row r="263" spans="7:27" x14ac:dyDescent="0.25">
      <c r="G263" s="30"/>
      <c r="AA263" s="2"/>
    </row>
    <row r="264" spans="7:27" x14ac:dyDescent="0.25">
      <c r="G264" s="30"/>
      <c r="AA264" s="2"/>
    </row>
    <row r="265" spans="7:27" x14ac:dyDescent="0.25">
      <c r="G265" s="30"/>
      <c r="AA265" s="2"/>
    </row>
    <row r="266" spans="7:27" x14ac:dyDescent="0.25">
      <c r="G266" s="30"/>
      <c r="AA266" s="2"/>
    </row>
    <row r="267" spans="7:27" x14ac:dyDescent="0.25">
      <c r="G267" s="30"/>
      <c r="AA267" s="2"/>
    </row>
    <row r="268" spans="7:27" x14ac:dyDescent="0.25">
      <c r="G268" s="30"/>
      <c r="AA268" s="2"/>
    </row>
    <row r="269" spans="7:27" x14ac:dyDescent="0.25">
      <c r="G269" s="30"/>
      <c r="AA269" s="2"/>
    </row>
    <row r="270" spans="7:27" x14ac:dyDescent="0.25">
      <c r="G270" s="30"/>
      <c r="AA270" s="2"/>
    </row>
    <row r="271" spans="7:27" x14ac:dyDescent="0.25">
      <c r="G271" s="30"/>
      <c r="AA271" s="2"/>
    </row>
    <row r="272" spans="7:27" x14ac:dyDescent="0.25">
      <c r="G272" s="30"/>
      <c r="AA272" s="2"/>
    </row>
    <row r="273" spans="7:27" x14ac:dyDescent="0.25">
      <c r="G273" s="30"/>
      <c r="AA273" s="2"/>
    </row>
  </sheetData>
  <mergeCells count="12">
    <mergeCell ref="B11:R49"/>
    <mergeCell ref="A54:A92"/>
    <mergeCell ref="B54:R92"/>
    <mergeCell ref="B97:R135"/>
    <mergeCell ref="A99:A131"/>
    <mergeCell ref="E1:O3"/>
    <mergeCell ref="E4:E5"/>
    <mergeCell ref="F4:O5"/>
    <mergeCell ref="E6:E7"/>
    <mergeCell ref="F6:O7"/>
    <mergeCell ref="E8:E9"/>
    <mergeCell ref="F8:O9"/>
  </mergeCells>
  <pageMargins left="0.19685039370078741" right="0.19685039370078741" top="0.19685039370078741" bottom="0.19685039370078741" header="0" footer="0.35433070866141736"/>
  <pageSetup paperSize="9" scale="39" fitToHeight="3" orientation="portrait" horizontalDpi="1200" verticalDpi="1200" r:id="rId1"/>
  <headerFooter alignWithMargins="0">
    <oddFooter xml:space="preserve">&amp;C&amp;18Tooshop | M. Santos | &amp;D&amp;R&amp;18Página &amp;P de &amp;N         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273"/>
  <sheetViews>
    <sheetView view="pageBreakPreview" zoomScale="37" zoomScaleNormal="70" zoomScaleSheetLayoutView="37" workbookViewId="0">
      <selection activeCell="T57" sqref="T57"/>
    </sheetView>
  </sheetViews>
  <sheetFormatPr defaultRowHeight="15" x14ac:dyDescent="0.25"/>
  <cols>
    <col min="1" max="1" width="4.7109375" style="2" customWidth="1"/>
    <col min="2" max="2" width="9.140625" style="2"/>
    <col min="3" max="4" width="15.7109375" style="2" customWidth="1"/>
    <col min="5" max="5" width="30.7109375" style="2" customWidth="1"/>
    <col min="6" max="6" width="18.7109375" style="2" customWidth="1"/>
    <col min="7" max="13" width="9.140625" style="2"/>
    <col min="14" max="14" width="25.7109375" style="2" customWidth="1"/>
    <col min="15" max="15" width="30.7109375" style="2" customWidth="1"/>
    <col min="16" max="17" width="15.7109375" style="2" customWidth="1"/>
    <col min="18" max="18" width="9.140625" style="2" customWidth="1"/>
    <col min="19" max="19" width="4.5703125" style="2" customWidth="1"/>
    <col min="20" max="20" width="50.140625" style="2" customWidth="1"/>
    <col min="21" max="21" width="6.85546875" style="2" customWidth="1"/>
    <col min="22" max="22" width="6.5703125" style="2" customWidth="1"/>
    <col min="23" max="23" width="6.7109375" style="2" customWidth="1"/>
    <col min="24" max="24" width="7.28515625" style="2" customWidth="1"/>
    <col min="25" max="25" width="9.140625" style="2"/>
    <col min="26" max="26" width="39" style="2" bestFit="1" customWidth="1"/>
    <col min="27" max="27" width="13.5703125" style="30" bestFit="1" customWidth="1"/>
    <col min="28" max="28" width="10.42578125" style="2" bestFit="1" customWidth="1"/>
    <col min="29" max="29" width="19.42578125" style="2" bestFit="1" customWidth="1"/>
    <col min="30" max="30" width="5.42578125" style="2" bestFit="1" customWidth="1"/>
    <col min="31" max="16384" width="9.140625" style="2"/>
  </cols>
  <sheetData>
    <row r="1" spans="1:30" ht="15" customHeight="1" x14ac:dyDescent="0.25">
      <c r="A1" s="13"/>
      <c r="B1" s="3"/>
      <c r="C1" s="3"/>
      <c r="D1" s="3"/>
      <c r="E1" s="116" t="s">
        <v>3</v>
      </c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3"/>
      <c r="Q1" s="3"/>
      <c r="R1" s="3"/>
      <c r="S1" s="4"/>
      <c r="T1" s="10"/>
      <c r="Z1" s="49" t="s">
        <v>4</v>
      </c>
      <c r="AA1" s="88"/>
      <c r="AB1" s="102"/>
      <c r="AC1" s="103"/>
      <c r="AD1" s="104"/>
    </row>
    <row r="2" spans="1:30" ht="15" customHeight="1" x14ac:dyDescent="0.25">
      <c r="A2" s="14"/>
      <c r="B2" s="56"/>
      <c r="C2" s="56"/>
      <c r="D2" s="56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58"/>
      <c r="Q2" s="56"/>
      <c r="R2" s="56"/>
      <c r="S2" s="6"/>
      <c r="Z2" s="50" t="s">
        <v>477</v>
      </c>
      <c r="AA2" s="89">
        <v>1</v>
      </c>
      <c r="AB2" s="95"/>
      <c r="AC2" s="95"/>
      <c r="AD2" s="105"/>
    </row>
    <row r="3" spans="1:30" ht="15" customHeight="1" x14ac:dyDescent="0.25">
      <c r="A3" s="14"/>
      <c r="B3" s="56"/>
      <c r="C3" s="56"/>
      <c r="D3" s="56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58"/>
      <c r="Q3" s="56"/>
      <c r="R3" s="56"/>
      <c r="S3" s="6"/>
      <c r="Z3" s="50" t="s">
        <v>476</v>
      </c>
      <c r="AA3" s="89">
        <v>2</v>
      </c>
      <c r="AB3" s="95"/>
      <c r="AC3" s="95"/>
      <c r="AD3" s="105"/>
    </row>
    <row r="4" spans="1:30" ht="15" customHeight="1" x14ac:dyDescent="0.25">
      <c r="A4" s="14"/>
      <c r="B4" s="56"/>
      <c r="C4" s="56"/>
      <c r="D4" s="56"/>
      <c r="E4" s="129" t="str">
        <f>"Projeto: "</f>
        <v xml:space="preserve">Projeto: </v>
      </c>
      <c r="F4" s="131" t="str">
        <f>T7</f>
        <v>Porsche_C7NF</v>
      </c>
      <c r="G4" s="131"/>
      <c r="H4" s="131"/>
      <c r="I4" s="131"/>
      <c r="J4" s="131"/>
      <c r="K4" s="131"/>
      <c r="L4" s="131"/>
      <c r="M4" s="131"/>
      <c r="N4" s="131"/>
      <c r="O4" s="132"/>
      <c r="P4" s="58"/>
      <c r="Q4" s="56"/>
      <c r="R4" s="56"/>
      <c r="S4" s="6"/>
      <c r="Z4" s="50" t="s">
        <v>218</v>
      </c>
      <c r="AA4" s="89"/>
      <c r="AB4" s="95"/>
      <c r="AC4" s="95"/>
      <c r="AD4" s="105"/>
    </row>
    <row r="5" spans="1:30" ht="15" customHeight="1" x14ac:dyDescent="0.25">
      <c r="A5" s="80"/>
      <c r="B5" s="54"/>
      <c r="C5" s="55"/>
      <c r="D5" s="55"/>
      <c r="E5" s="130"/>
      <c r="F5" s="133"/>
      <c r="G5" s="133"/>
      <c r="H5" s="133"/>
      <c r="I5" s="133"/>
      <c r="J5" s="133"/>
      <c r="K5" s="133"/>
      <c r="L5" s="133"/>
      <c r="M5" s="133"/>
      <c r="N5" s="133"/>
      <c r="O5" s="134"/>
      <c r="P5" s="58"/>
      <c r="Q5" s="55"/>
      <c r="R5" s="55"/>
      <c r="S5" s="6"/>
      <c r="Z5" s="50" t="s">
        <v>475</v>
      </c>
      <c r="AA5" s="89"/>
      <c r="AB5" s="95"/>
      <c r="AC5" s="95"/>
      <c r="AD5" s="105"/>
    </row>
    <row r="6" spans="1:30" ht="15" customHeight="1" x14ac:dyDescent="0.25">
      <c r="A6" s="80"/>
      <c r="B6" s="54"/>
      <c r="C6" s="55"/>
      <c r="D6" s="55"/>
      <c r="E6" s="135" t="str">
        <f>"Peça: "</f>
        <v xml:space="preserve">Peça: </v>
      </c>
      <c r="F6" s="136" t="str">
        <f>T8</f>
        <v>981.503.501</v>
      </c>
      <c r="G6" s="136"/>
      <c r="H6" s="136"/>
      <c r="I6" s="136"/>
      <c r="J6" s="136"/>
      <c r="K6" s="136"/>
      <c r="L6" s="136"/>
      <c r="M6" s="136"/>
      <c r="N6" s="136"/>
      <c r="O6" s="137"/>
      <c r="P6" s="58"/>
      <c r="Q6" s="55"/>
      <c r="R6" s="55"/>
      <c r="S6" s="6"/>
      <c r="T6" s="17" t="s">
        <v>368</v>
      </c>
      <c r="Z6" s="50" t="s">
        <v>249</v>
      </c>
      <c r="AA6" s="89"/>
      <c r="AB6" s="95"/>
      <c r="AC6" s="95"/>
      <c r="AD6" s="105"/>
    </row>
    <row r="7" spans="1:30" ht="15" customHeight="1" x14ac:dyDescent="0.25">
      <c r="A7" s="80"/>
      <c r="B7" s="54"/>
      <c r="C7" s="55"/>
      <c r="D7" s="55"/>
      <c r="E7" s="130"/>
      <c r="F7" s="133"/>
      <c r="G7" s="133"/>
      <c r="H7" s="133"/>
      <c r="I7" s="133"/>
      <c r="J7" s="133"/>
      <c r="K7" s="133"/>
      <c r="L7" s="133"/>
      <c r="M7" s="133"/>
      <c r="N7" s="133"/>
      <c r="O7" s="134"/>
      <c r="P7" s="55"/>
      <c r="Q7" s="55"/>
      <c r="R7" s="55"/>
      <c r="S7" s="6"/>
      <c r="T7" s="53" t="s">
        <v>87</v>
      </c>
      <c r="Z7" s="50" t="s">
        <v>2</v>
      </c>
      <c r="AA7" s="89">
        <f>SUM(AA2:AA6)</f>
        <v>3</v>
      </c>
      <c r="AB7" s="95">
        <f>SUM(AB2:AB6)</f>
        <v>0</v>
      </c>
      <c r="AC7" s="95"/>
      <c r="AD7" s="105"/>
    </row>
    <row r="8" spans="1:30" ht="15" customHeight="1" x14ac:dyDescent="0.25">
      <c r="A8" s="15"/>
      <c r="E8" s="135" t="str">
        <f>"Ano: "</f>
        <v xml:space="preserve">Ano: </v>
      </c>
      <c r="F8" s="136">
        <f>T9</f>
        <v>2017</v>
      </c>
      <c r="G8" s="136"/>
      <c r="H8" s="136"/>
      <c r="I8" s="136"/>
      <c r="J8" s="136"/>
      <c r="K8" s="136"/>
      <c r="L8" s="136"/>
      <c r="M8" s="136"/>
      <c r="N8" s="136"/>
      <c r="O8" s="137"/>
      <c r="S8" s="6"/>
      <c r="T8" s="2" t="s">
        <v>101</v>
      </c>
      <c r="Z8" s="48" t="s">
        <v>5</v>
      </c>
      <c r="AA8" s="90"/>
      <c r="AB8" s="106"/>
      <c r="AC8" s="106"/>
      <c r="AD8" s="107"/>
    </row>
    <row r="9" spans="1:30" ht="15" customHeight="1" x14ac:dyDescent="0.25">
      <c r="A9" s="81"/>
      <c r="B9" s="57"/>
      <c r="C9" s="57"/>
      <c r="D9" s="57"/>
      <c r="E9" s="130"/>
      <c r="F9" s="133"/>
      <c r="G9" s="133"/>
      <c r="H9" s="133"/>
      <c r="I9" s="133"/>
      <c r="J9" s="133"/>
      <c r="K9" s="133"/>
      <c r="L9" s="133"/>
      <c r="M9" s="133"/>
      <c r="N9" s="133"/>
      <c r="O9" s="134"/>
      <c r="P9" s="57"/>
      <c r="Q9" s="57"/>
      <c r="R9" s="57"/>
      <c r="S9" s="6"/>
      <c r="T9" s="2">
        <v>2017</v>
      </c>
      <c r="Z9" s="44" t="s">
        <v>8</v>
      </c>
      <c r="AA9" s="91"/>
      <c r="AB9" s="108"/>
      <c r="AC9" s="108"/>
      <c r="AD9" s="109"/>
    </row>
    <row r="10" spans="1:30" x14ac:dyDescent="0.25">
      <c r="A10" s="81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6"/>
      <c r="Z10" s="44" t="s">
        <v>7</v>
      </c>
      <c r="AA10" s="91"/>
      <c r="AB10" s="108"/>
      <c r="AC10" s="108"/>
      <c r="AD10" s="109"/>
    </row>
    <row r="11" spans="1:30" ht="15" customHeight="1" x14ac:dyDescent="0.25">
      <c r="A11" s="81"/>
      <c r="B11" s="118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6"/>
      <c r="Z11" s="44" t="s">
        <v>41</v>
      </c>
      <c r="AA11" s="91"/>
      <c r="AB11" s="108"/>
      <c r="AC11" s="108"/>
      <c r="AD11" s="109"/>
    </row>
    <row r="12" spans="1:30" ht="15" customHeight="1" x14ac:dyDescent="0.25">
      <c r="A12" s="81"/>
      <c r="B12" s="118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6"/>
      <c r="Z12" s="44" t="s">
        <v>40</v>
      </c>
      <c r="AA12" s="91"/>
      <c r="AB12" s="108"/>
      <c r="AC12" s="108"/>
      <c r="AD12" s="109"/>
    </row>
    <row r="13" spans="1:30" ht="15" customHeight="1" x14ac:dyDescent="0.25">
      <c r="A13" s="81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6"/>
      <c r="T13" s="12"/>
      <c r="Z13" s="44" t="s">
        <v>1</v>
      </c>
      <c r="AA13" s="91"/>
      <c r="AB13" s="108"/>
      <c r="AC13" s="108"/>
      <c r="AD13" s="109"/>
    </row>
    <row r="14" spans="1:30" ht="15" customHeight="1" x14ac:dyDescent="0.25">
      <c r="A14" s="81"/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6"/>
      <c r="T14" s="11"/>
      <c r="Z14" s="96" t="s">
        <v>356</v>
      </c>
      <c r="AA14" s="94"/>
      <c r="AB14" s="110"/>
      <c r="AC14" s="110"/>
      <c r="AD14" s="111"/>
    </row>
    <row r="15" spans="1:30" ht="15" customHeight="1" x14ac:dyDescent="0.25">
      <c r="A15" s="81"/>
      <c r="B15" s="118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6"/>
      <c r="Z15" s="45" t="s">
        <v>353</v>
      </c>
      <c r="AA15" s="98"/>
      <c r="AB15" s="99"/>
      <c r="AC15" s="100"/>
      <c r="AD15" s="101"/>
    </row>
    <row r="16" spans="1:30" ht="15" customHeight="1" x14ac:dyDescent="0.25">
      <c r="A16" s="81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6"/>
      <c r="Z16" s="45" t="s">
        <v>185</v>
      </c>
      <c r="AA16" s="98"/>
      <c r="AB16" s="99"/>
      <c r="AC16" s="100"/>
      <c r="AD16" s="101"/>
    </row>
    <row r="17" spans="1:30" x14ac:dyDescent="0.25">
      <c r="A17" s="81"/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6"/>
      <c r="Z17" s="45" t="s">
        <v>210</v>
      </c>
      <c r="AA17" s="98"/>
      <c r="AB17" s="99"/>
      <c r="AC17" s="100"/>
      <c r="AD17" s="101"/>
    </row>
    <row r="18" spans="1:30" x14ac:dyDescent="0.25">
      <c r="A18" s="81"/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6"/>
      <c r="Z18" s="45" t="s">
        <v>354</v>
      </c>
      <c r="AA18" s="98"/>
      <c r="AB18" s="99"/>
      <c r="AC18" s="100"/>
      <c r="AD18" s="101"/>
    </row>
    <row r="19" spans="1:30" x14ac:dyDescent="0.25">
      <c r="A19" s="81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6"/>
      <c r="Z19" s="45" t="s">
        <v>46</v>
      </c>
      <c r="AA19" s="98"/>
      <c r="AB19" s="99"/>
      <c r="AC19" s="100"/>
      <c r="AD19" s="101"/>
    </row>
    <row r="20" spans="1:30" x14ac:dyDescent="0.25">
      <c r="A20" s="81"/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6"/>
      <c r="Z20" s="45" t="s">
        <v>204</v>
      </c>
      <c r="AA20" s="98"/>
      <c r="AB20" s="99"/>
      <c r="AC20" s="100"/>
      <c r="AD20" s="101"/>
    </row>
    <row r="21" spans="1:30" x14ac:dyDescent="0.25">
      <c r="A21" s="81"/>
      <c r="B21" s="118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6"/>
      <c r="Z21" s="45" t="s">
        <v>143</v>
      </c>
      <c r="AA21" s="98"/>
      <c r="AB21" s="99"/>
      <c r="AC21" s="100"/>
      <c r="AD21" s="101"/>
    </row>
    <row r="22" spans="1:30" x14ac:dyDescent="0.25">
      <c r="A22" s="81"/>
      <c r="B22" s="118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6"/>
      <c r="Z22" s="45" t="s">
        <v>147</v>
      </c>
      <c r="AA22" s="98"/>
      <c r="AB22" s="99"/>
      <c r="AC22" s="100"/>
      <c r="AD22" s="101">
        <v>2</v>
      </c>
    </row>
    <row r="23" spans="1:30" x14ac:dyDescent="0.25">
      <c r="A23" s="81"/>
      <c r="B23" s="118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6"/>
      <c r="Z23" s="45" t="s">
        <v>57</v>
      </c>
      <c r="AA23" s="98"/>
      <c r="AB23" s="99"/>
      <c r="AC23" s="100"/>
      <c r="AD23" s="101"/>
    </row>
    <row r="24" spans="1:30" x14ac:dyDescent="0.25">
      <c r="A24" s="81"/>
      <c r="B24" s="11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6"/>
      <c r="Z24" s="46" t="s">
        <v>52</v>
      </c>
      <c r="AA24" s="98"/>
      <c r="AB24" s="99"/>
      <c r="AC24" s="100"/>
      <c r="AD24" s="101"/>
    </row>
    <row r="25" spans="1:30" x14ac:dyDescent="0.25">
      <c r="A25" s="81"/>
      <c r="B25" s="118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6"/>
      <c r="Z25" s="46"/>
      <c r="AA25" s="98"/>
      <c r="AB25" s="99"/>
      <c r="AC25" s="100"/>
      <c r="AD25" s="101"/>
    </row>
    <row r="26" spans="1:30" x14ac:dyDescent="0.25">
      <c r="A26" s="81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6"/>
      <c r="Z26" s="46"/>
      <c r="AA26" s="92"/>
      <c r="AB26" s="100"/>
      <c r="AC26" s="100"/>
      <c r="AD26" s="101"/>
    </row>
    <row r="27" spans="1:30" x14ac:dyDescent="0.25">
      <c r="A27" s="81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6"/>
      <c r="Z27" s="46"/>
      <c r="AA27" s="92"/>
      <c r="AB27" s="100"/>
      <c r="AC27" s="100"/>
      <c r="AD27" s="101"/>
    </row>
    <row r="28" spans="1:30" x14ac:dyDescent="0.25">
      <c r="A28" s="81"/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6"/>
      <c r="Z28" s="97"/>
      <c r="AA28" s="92" t="s">
        <v>8</v>
      </c>
      <c r="AB28" s="100" t="s">
        <v>7</v>
      </c>
      <c r="AC28" s="100" t="s">
        <v>41</v>
      </c>
      <c r="AD28" s="101" t="s">
        <v>479</v>
      </c>
    </row>
    <row r="29" spans="1:30" x14ac:dyDescent="0.25">
      <c r="A29" s="81"/>
      <c r="B29" s="118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6"/>
      <c r="Z29" s="46"/>
      <c r="AA29" s="92"/>
      <c r="AB29" s="100"/>
      <c r="AC29" s="100"/>
      <c r="AD29" s="101"/>
    </row>
    <row r="30" spans="1:30" x14ac:dyDescent="0.25">
      <c r="A30" s="81"/>
      <c r="B30" s="118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6"/>
      <c r="Z30" s="46"/>
      <c r="AA30" s="92"/>
      <c r="AB30" s="100"/>
      <c r="AC30" s="100"/>
      <c r="AD30" s="101"/>
    </row>
    <row r="31" spans="1:30" x14ac:dyDescent="0.25">
      <c r="A31" s="81"/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6"/>
      <c r="Z31" s="46"/>
      <c r="AA31" s="92"/>
      <c r="AB31" s="100"/>
      <c r="AC31" s="100"/>
      <c r="AD31" s="101"/>
    </row>
    <row r="32" spans="1:30" x14ac:dyDescent="0.25">
      <c r="A32" s="81"/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6"/>
      <c r="Z32" s="46"/>
      <c r="AA32" s="92"/>
      <c r="AB32" s="100"/>
      <c r="AC32" s="100"/>
      <c r="AD32" s="101"/>
    </row>
    <row r="33" spans="1:30" x14ac:dyDescent="0.25">
      <c r="A33" s="81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6"/>
      <c r="Z33" s="46"/>
      <c r="AA33" s="92"/>
      <c r="AB33" s="100"/>
      <c r="AC33" s="100"/>
      <c r="AD33" s="101"/>
    </row>
    <row r="34" spans="1:30" x14ac:dyDescent="0.25">
      <c r="A34" s="81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6"/>
      <c r="Z34" s="97"/>
      <c r="AA34" s="92"/>
      <c r="AB34" s="100"/>
      <c r="AC34" s="100"/>
      <c r="AD34" s="101"/>
    </row>
    <row r="35" spans="1:30" x14ac:dyDescent="0.25">
      <c r="A35" s="81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6"/>
      <c r="Z35" s="46"/>
      <c r="AA35" s="92"/>
      <c r="AB35" s="100"/>
      <c r="AC35" s="100"/>
      <c r="AD35" s="101"/>
    </row>
    <row r="36" spans="1:30" x14ac:dyDescent="0.25">
      <c r="A36" s="81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6"/>
      <c r="Z36" s="46"/>
      <c r="AA36" s="92"/>
      <c r="AB36" s="100"/>
      <c r="AC36" s="100"/>
      <c r="AD36" s="101"/>
    </row>
    <row r="37" spans="1:30" x14ac:dyDescent="0.25">
      <c r="A37" s="81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6"/>
      <c r="Z37" s="46"/>
      <c r="AA37" s="92"/>
      <c r="AB37" s="100"/>
      <c r="AC37" s="100"/>
      <c r="AD37" s="101"/>
    </row>
    <row r="38" spans="1:30" x14ac:dyDescent="0.25">
      <c r="A38" s="81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6"/>
      <c r="Z38" s="46"/>
      <c r="AA38" s="92"/>
      <c r="AB38" s="100"/>
      <c r="AC38" s="100"/>
      <c r="AD38" s="101"/>
    </row>
    <row r="39" spans="1:30" ht="15.75" thickBot="1" x14ac:dyDescent="0.3">
      <c r="A39" s="81"/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6"/>
      <c r="Z39" s="47"/>
      <c r="AA39" s="93"/>
      <c r="AB39" s="112"/>
      <c r="AC39" s="112"/>
      <c r="AD39" s="113"/>
    </row>
    <row r="40" spans="1:30" x14ac:dyDescent="0.25">
      <c r="A40" s="81"/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6"/>
    </row>
    <row r="41" spans="1:30" x14ac:dyDescent="0.25">
      <c r="A41" s="81"/>
      <c r="B41" s="118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6"/>
    </row>
    <row r="42" spans="1:30" x14ac:dyDescent="0.25">
      <c r="A42" s="5"/>
      <c r="B42" s="118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6"/>
    </row>
    <row r="43" spans="1:30" x14ac:dyDescent="0.25">
      <c r="A43" s="5"/>
      <c r="B43" s="118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6"/>
    </row>
    <row r="44" spans="1:30" x14ac:dyDescent="0.25">
      <c r="A44" s="5"/>
      <c r="B44" s="118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6"/>
    </row>
    <row r="45" spans="1:30" x14ac:dyDescent="0.25">
      <c r="A45" s="5"/>
      <c r="B45" s="118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8"/>
      <c r="Q45" s="118"/>
      <c r="R45" s="118"/>
      <c r="S45" s="6"/>
    </row>
    <row r="46" spans="1:30" x14ac:dyDescent="0.25">
      <c r="A46" s="15"/>
      <c r="B46" s="118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6"/>
    </row>
    <row r="47" spans="1:30" ht="15" customHeight="1" x14ac:dyDescent="0.25">
      <c r="A47" s="14"/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6"/>
    </row>
    <row r="48" spans="1:30" ht="15" customHeight="1" x14ac:dyDescent="0.25">
      <c r="A48" s="14"/>
      <c r="B48" s="118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6"/>
    </row>
    <row r="49" spans="1:19" ht="15" customHeight="1" x14ac:dyDescent="0.25">
      <c r="A49" s="14"/>
      <c r="B49" s="118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6"/>
    </row>
    <row r="50" spans="1:19" ht="15" customHeight="1" x14ac:dyDescent="0.25">
      <c r="A50" s="80"/>
      <c r="B50" s="54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6"/>
    </row>
    <row r="51" spans="1:19" ht="15" customHeight="1" x14ac:dyDescent="0.25">
      <c r="A51" s="80"/>
      <c r="B51" s="59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"/>
    </row>
    <row r="52" spans="1:19" ht="15" customHeight="1" x14ac:dyDescent="0.25">
      <c r="A52" s="80"/>
      <c r="B52" s="54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6"/>
    </row>
    <row r="53" spans="1:19" x14ac:dyDescent="0.25">
      <c r="A53" s="15"/>
      <c r="S53" s="6"/>
    </row>
    <row r="54" spans="1:19" ht="15" customHeight="1" x14ac:dyDescent="0.25">
      <c r="A54" s="127" t="s">
        <v>163</v>
      </c>
      <c r="B54" s="118"/>
      <c r="C54" s="118"/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6"/>
    </row>
    <row r="55" spans="1:19" x14ac:dyDescent="0.25">
      <c r="A55" s="127"/>
      <c r="B55" s="118"/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6"/>
    </row>
    <row r="56" spans="1:19" x14ac:dyDescent="0.25">
      <c r="A56" s="127"/>
      <c r="B56" s="118"/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6"/>
    </row>
    <row r="57" spans="1:19" x14ac:dyDescent="0.25">
      <c r="A57" s="127"/>
      <c r="B57" s="118"/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6"/>
    </row>
    <row r="58" spans="1:19" x14ac:dyDescent="0.25">
      <c r="A58" s="127"/>
      <c r="B58" s="118"/>
      <c r="C58" s="118"/>
      <c r="D58" s="118"/>
      <c r="E58" s="118"/>
      <c r="F58" s="118"/>
      <c r="G58" s="118"/>
      <c r="H58" s="118"/>
      <c r="I58" s="118"/>
      <c r="J58" s="118"/>
      <c r="K58" s="118"/>
      <c r="L58" s="118"/>
      <c r="M58" s="118"/>
      <c r="N58" s="118"/>
      <c r="O58" s="118"/>
      <c r="P58" s="118"/>
      <c r="Q58" s="118"/>
      <c r="R58" s="118"/>
      <c r="S58" s="6"/>
    </row>
    <row r="59" spans="1:19" x14ac:dyDescent="0.25">
      <c r="A59" s="127"/>
      <c r="B59" s="118"/>
      <c r="C59" s="118"/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6"/>
    </row>
    <row r="60" spans="1:19" x14ac:dyDescent="0.25">
      <c r="A60" s="127"/>
      <c r="B60" s="118"/>
      <c r="C60" s="118"/>
      <c r="D60" s="118"/>
      <c r="E60" s="118"/>
      <c r="F60" s="118"/>
      <c r="G60" s="118"/>
      <c r="H60" s="118"/>
      <c r="I60" s="118"/>
      <c r="J60" s="118"/>
      <c r="K60" s="118"/>
      <c r="L60" s="118"/>
      <c r="M60" s="118"/>
      <c r="N60" s="118"/>
      <c r="O60" s="118"/>
      <c r="P60" s="118"/>
      <c r="Q60" s="118"/>
      <c r="R60" s="118"/>
      <c r="S60" s="6"/>
    </row>
    <row r="61" spans="1:19" x14ac:dyDescent="0.25">
      <c r="A61" s="127"/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6"/>
    </row>
    <row r="62" spans="1:19" x14ac:dyDescent="0.25">
      <c r="A62" s="127"/>
      <c r="B62" s="118"/>
      <c r="C62" s="118"/>
      <c r="D62" s="118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6"/>
    </row>
    <row r="63" spans="1:19" x14ac:dyDescent="0.25">
      <c r="A63" s="127"/>
      <c r="B63" s="118"/>
      <c r="C63" s="118"/>
      <c r="D63" s="118"/>
      <c r="E63" s="118"/>
      <c r="F63" s="118"/>
      <c r="G63" s="118"/>
      <c r="H63" s="118"/>
      <c r="I63" s="118"/>
      <c r="J63" s="118"/>
      <c r="K63" s="118"/>
      <c r="L63" s="118"/>
      <c r="M63" s="118"/>
      <c r="N63" s="118"/>
      <c r="O63" s="118"/>
      <c r="P63" s="118"/>
      <c r="Q63" s="118"/>
      <c r="R63" s="118"/>
      <c r="S63" s="6"/>
    </row>
    <row r="64" spans="1:19" x14ac:dyDescent="0.25">
      <c r="A64" s="127"/>
      <c r="B64" s="118"/>
      <c r="C64" s="118"/>
      <c r="D64" s="118"/>
      <c r="E64" s="118"/>
      <c r="F64" s="118"/>
      <c r="G64" s="118"/>
      <c r="H64" s="118"/>
      <c r="I64" s="118"/>
      <c r="J64" s="118"/>
      <c r="K64" s="118"/>
      <c r="L64" s="118"/>
      <c r="M64" s="118"/>
      <c r="N64" s="118"/>
      <c r="O64" s="118"/>
      <c r="P64" s="118"/>
      <c r="Q64" s="118"/>
      <c r="R64" s="118"/>
      <c r="S64" s="6"/>
    </row>
    <row r="65" spans="1:19" x14ac:dyDescent="0.25">
      <c r="A65" s="127"/>
      <c r="B65" s="118"/>
      <c r="C65" s="118"/>
      <c r="D65" s="118"/>
      <c r="E65" s="118"/>
      <c r="F65" s="118"/>
      <c r="G65" s="118"/>
      <c r="H65" s="118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6"/>
    </row>
    <row r="66" spans="1:19" x14ac:dyDescent="0.25">
      <c r="A66" s="127"/>
      <c r="B66" s="118"/>
      <c r="C66" s="118"/>
      <c r="D66" s="118"/>
      <c r="E66" s="118"/>
      <c r="F66" s="118"/>
      <c r="G66" s="118"/>
      <c r="H66" s="118"/>
      <c r="I66" s="118"/>
      <c r="J66" s="118"/>
      <c r="K66" s="118"/>
      <c r="L66" s="118"/>
      <c r="M66" s="118"/>
      <c r="N66" s="118"/>
      <c r="O66" s="118"/>
      <c r="P66" s="118"/>
      <c r="Q66" s="118"/>
      <c r="R66" s="118"/>
      <c r="S66" s="6"/>
    </row>
    <row r="67" spans="1:19" x14ac:dyDescent="0.25">
      <c r="A67" s="127"/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6"/>
    </row>
    <row r="68" spans="1:19" x14ac:dyDescent="0.25">
      <c r="A68" s="127"/>
      <c r="B68" s="118"/>
      <c r="C68" s="118"/>
      <c r="D68" s="118"/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118"/>
      <c r="Q68" s="118"/>
      <c r="R68" s="118"/>
      <c r="S68" s="6"/>
    </row>
    <row r="69" spans="1:19" x14ac:dyDescent="0.25">
      <c r="A69" s="127"/>
      <c r="B69" s="118"/>
      <c r="C69" s="118"/>
      <c r="D69" s="118"/>
      <c r="E69" s="118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118"/>
      <c r="Q69" s="118"/>
      <c r="R69" s="118"/>
      <c r="S69" s="6"/>
    </row>
    <row r="70" spans="1:19" x14ac:dyDescent="0.25">
      <c r="A70" s="127"/>
      <c r="B70" s="118"/>
      <c r="C70" s="118"/>
      <c r="D70" s="118"/>
      <c r="E70" s="118"/>
      <c r="F70" s="118"/>
      <c r="G70" s="118"/>
      <c r="H70" s="118"/>
      <c r="I70" s="118"/>
      <c r="J70" s="118"/>
      <c r="K70" s="118"/>
      <c r="L70" s="118"/>
      <c r="M70" s="118"/>
      <c r="N70" s="118"/>
      <c r="O70" s="118"/>
      <c r="P70" s="118"/>
      <c r="Q70" s="118"/>
      <c r="R70" s="118"/>
      <c r="S70" s="6"/>
    </row>
    <row r="71" spans="1:19" x14ac:dyDescent="0.25">
      <c r="A71" s="127"/>
      <c r="B71" s="118"/>
      <c r="C71" s="118"/>
      <c r="D71" s="118"/>
      <c r="E71" s="118"/>
      <c r="F71" s="118"/>
      <c r="G71" s="118"/>
      <c r="H71" s="118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6"/>
    </row>
    <row r="72" spans="1:19" x14ac:dyDescent="0.25">
      <c r="A72" s="127"/>
      <c r="B72" s="118"/>
      <c r="C72" s="118"/>
      <c r="D72" s="118"/>
      <c r="E72" s="118"/>
      <c r="F72" s="118"/>
      <c r="G72" s="118"/>
      <c r="H72" s="118"/>
      <c r="I72" s="118"/>
      <c r="J72" s="118"/>
      <c r="K72" s="118"/>
      <c r="L72" s="118"/>
      <c r="M72" s="118"/>
      <c r="N72" s="118"/>
      <c r="O72" s="118"/>
      <c r="P72" s="118"/>
      <c r="Q72" s="118"/>
      <c r="R72" s="118"/>
      <c r="S72" s="6"/>
    </row>
    <row r="73" spans="1:19" x14ac:dyDescent="0.25">
      <c r="A73" s="127"/>
      <c r="B73" s="118"/>
      <c r="C73" s="118"/>
      <c r="D73" s="118"/>
      <c r="E73" s="118"/>
      <c r="F73" s="118"/>
      <c r="G73" s="118"/>
      <c r="H73" s="118"/>
      <c r="I73" s="118"/>
      <c r="J73" s="118"/>
      <c r="K73" s="118"/>
      <c r="L73" s="118"/>
      <c r="M73" s="118"/>
      <c r="N73" s="118"/>
      <c r="O73" s="118"/>
      <c r="P73" s="118"/>
      <c r="Q73" s="118"/>
      <c r="R73" s="118"/>
      <c r="S73" s="6"/>
    </row>
    <row r="74" spans="1:19" x14ac:dyDescent="0.25">
      <c r="A74" s="127"/>
      <c r="B74" s="118"/>
      <c r="C74" s="118"/>
      <c r="D74" s="118"/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6"/>
    </row>
    <row r="75" spans="1:19" x14ac:dyDescent="0.25">
      <c r="A75" s="127"/>
      <c r="B75" s="118"/>
      <c r="C75" s="118"/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6"/>
    </row>
    <row r="76" spans="1:19" x14ac:dyDescent="0.25">
      <c r="A76" s="127"/>
      <c r="B76" s="118"/>
      <c r="C76" s="118"/>
      <c r="D76" s="118"/>
      <c r="E76" s="118"/>
      <c r="F76" s="118"/>
      <c r="G76" s="118"/>
      <c r="H76" s="118"/>
      <c r="I76" s="118"/>
      <c r="J76" s="118"/>
      <c r="K76" s="118"/>
      <c r="L76" s="118"/>
      <c r="M76" s="118"/>
      <c r="N76" s="118"/>
      <c r="O76" s="118"/>
      <c r="P76" s="118"/>
      <c r="Q76" s="118"/>
      <c r="R76" s="118"/>
      <c r="S76" s="6"/>
    </row>
    <row r="77" spans="1:19" x14ac:dyDescent="0.25">
      <c r="A77" s="127"/>
      <c r="B77" s="118"/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6"/>
    </row>
    <row r="78" spans="1:19" x14ac:dyDescent="0.25">
      <c r="A78" s="127"/>
      <c r="B78" s="118"/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6"/>
    </row>
    <row r="79" spans="1:19" x14ac:dyDescent="0.25">
      <c r="A79" s="127"/>
      <c r="B79" s="118"/>
      <c r="C79" s="118"/>
      <c r="D79" s="118"/>
      <c r="E79" s="118"/>
      <c r="F79" s="118"/>
      <c r="G79" s="118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6"/>
    </row>
    <row r="80" spans="1:19" x14ac:dyDescent="0.25">
      <c r="A80" s="127"/>
      <c r="B80" s="118"/>
      <c r="C80" s="118"/>
      <c r="D80" s="118"/>
      <c r="E80" s="118"/>
      <c r="F80" s="118"/>
      <c r="G80" s="118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6"/>
    </row>
    <row r="81" spans="1:26" x14ac:dyDescent="0.25">
      <c r="A81" s="127"/>
      <c r="B81" s="118"/>
      <c r="C81" s="118"/>
      <c r="D81" s="118"/>
      <c r="E81" s="118"/>
      <c r="F81" s="118"/>
      <c r="G81" s="118"/>
      <c r="H81" s="118"/>
      <c r="I81" s="118"/>
      <c r="J81" s="118"/>
      <c r="K81" s="118"/>
      <c r="L81" s="118"/>
      <c r="M81" s="118"/>
      <c r="N81" s="118"/>
      <c r="O81" s="118"/>
      <c r="P81" s="118"/>
      <c r="Q81" s="118"/>
      <c r="R81" s="118"/>
      <c r="S81" s="6"/>
    </row>
    <row r="82" spans="1:26" x14ac:dyDescent="0.25">
      <c r="A82" s="127"/>
      <c r="B82" s="118"/>
      <c r="C82" s="118"/>
      <c r="D82" s="118"/>
      <c r="E82" s="118"/>
      <c r="F82" s="118"/>
      <c r="G82" s="118"/>
      <c r="H82" s="118"/>
      <c r="I82" s="118"/>
      <c r="J82" s="118"/>
      <c r="K82" s="118"/>
      <c r="L82" s="118"/>
      <c r="M82" s="118"/>
      <c r="N82" s="118"/>
      <c r="O82" s="118"/>
      <c r="P82" s="118"/>
      <c r="Q82" s="118"/>
      <c r="R82" s="118"/>
      <c r="S82" s="6"/>
    </row>
    <row r="83" spans="1:26" x14ac:dyDescent="0.25">
      <c r="A83" s="127"/>
      <c r="B83" s="118"/>
      <c r="C83" s="118"/>
      <c r="D83" s="118"/>
      <c r="E83" s="118"/>
      <c r="F83" s="118"/>
      <c r="G83" s="118"/>
      <c r="H83" s="118"/>
      <c r="I83" s="118"/>
      <c r="J83" s="118"/>
      <c r="K83" s="118"/>
      <c r="L83" s="118"/>
      <c r="M83" s="118"/>
      <c r="N83" s="118"/>
      <c r="O83" s="118"/>
      <c r="P83" s="118"/>
      <c r="Q83" s="118"/>
      <c r="R83" s="118"/>
      <c r="S83" s="6"/>
    </row>
    <row r="84" spans="1:26" x14ac:dyDescent="0.25">
      <c r="A84" s="127"/>
      <c r="B84" s="118"/>
      <c r="C84" s="118"/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118"/>
      <c r="Q84" s="118"/>
      <c r="R84" s="118"/>
      <c r="S84" s="6"/>
    </row>
    <row r="85" spans="1:26" x14ac:dyDescent="0.25">
      <c r="A85" s="127"/>
      <c r="B85" s="118"/>
      <c r="C85" s="118"/>
      <c r="D85" s="118"/>
      <c r="E85" s="118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118"/>
      <c r="Q85" s="118"/>
      <c r="R85" s="118"/>
      <c r="S85" s="6"/>
    </row>
    <row r="86" spans="1:26" x14ac:dyDescent="0.25">
      <c r="A86" s="127"/>
      <c r="B86" s="118"/>
      <c r="C86" s="118"/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8"/>
      <c r="Q86" s="118"/>
      <c r="R86" s="118"/>
      <c r="S86" s="6"/>
      <c r="Z86" s="30"/>
    </row>
    <row r="87" spans="1:26" x14ac:dyDescent="0.25">
      <c r="A87" s="127"/>
      <c r="B87" s="118"/>
      <c r="C87" s="118"/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118"/>
      <c r="Q87" s="118"/>
      <c r="R87" s="118"/>
      <c r="S87" s="6"/>
    </row>
    <row r="88" spans="1:26" x14ac:dyDescent="0.25">
      <c r="A88" s="127"/>
      <c r="B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6"/>
    </row>
    <row r="89" spans="1:26" x14ac:dyDescent="0.25">
      <c r="A89" s="127"/>
      <c r="B89" s="11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18"/>
      <c r="O89" s="118"/>
      <c r="P89" s="118"/>
      <c r="Q89" s="118"/>
      <c r="R89" s="118"/>
      <c r="S89" s="6"/>
    </row>
    <row r="90" spans="1:26" x14ac:dyDescent="0.25">
      <c r="A90" s="127"/>
      <c r="B90" s="118"/>
      <c r="C90" s="118"/>
      <c r="D90" s="118"/>
      <c r="E90" s="118"/>
      <c r="F90" s="118"/>
      <c r="G90" s="118"/>
      <c r="H90" s="118"/>
      <c r="I90" s="118"/>
      <c r="J90" s="118"/>
      <c r="K90" s="118"/>
      <c r="L90" s="118"/>
      <c r="M90" s="118"/>
      <c r="N90" s="118"/>
      <c r="O90" s="118"/>
      <c r="P90" s="118"/>
      <c r="Q90" s="118"/>
      <c r="R90" s="118"/>
      <c r="S90" s="76"/>
    </row>
    <row r="91" spans="1:26" x14ac:dyDescent="0.25">
      <c r="A91" s="127"/>
      <c r="B91" s="118"/>
      <c r="C91" s="118"/>
      <c r="D91" s="118"/>
      <c r="E91" s="118"/>
      <c r="F91" s="118"/>
      <c r="G91" s="118"/>
      <c r="H91" s="118"/>
      <c r="I91" s="118"/>
      <c r="J91" s="118"/>
      <c r="K91" s="118"/>
      <c r="L91" s="118"/>
      <c r="M91" s="118"/>
      <c r="N91" s="118"/>
      <c r="O91" s="118"/>
      <c r="P91" s="118"/>
      <c r="Q91" s="118"/>
      <c r="R91" s="118"/>
      <c r="S91" s="77"/>
    </row>
    <row r="92" spans="1:26" ht="15" customHeight="1" x14ac:dyDescent="0.25">
      <c r="A92" s="127"/>
      <c r="B92" s="118"/>
      <c r="C92" s="118"/>
      <c r="D92" s="118"/>
      <c r="E92" s="118"/>
      <c r="F92" s="118"/>
      <c r="G92" s="118"/>
      <c r="H92" s="118"/>
      <c r="I92" s="118"/>
      <c r="J92" s="118"/>
      <c r="K92" s="118"/>
      <c r="L92" s="118"/>
      <c r="M92" s="118"/>
      <c r="N92" s="118"/>
      <c r="O92" s="118"/>
      <c r="P92" s="118"/>
      <c r="Q92" s="118"/>
      <c r="R92" s="118"/>
      <c r="S92" s="77"/>
    </row>
    <row r="93" spans="1:26" ht="15" customHeight="1" x14ac:dyDescent="0.25">
      <c r="A93" s="14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77"/>
    </row>
    <row r="94" spans="1:26" ht="15" customHeight="1" x14ac:dyDescent="0.25">
      <c r="A94" s="14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77"/>
    </row>
    <row r="95" spans="1:26" ht="15" customHeight="1" x14ac:dyDescent="0.25">
      <c r="A95" s="80"/>
      <c r="B95" s="54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77"/>
    </row>
    <row r="96" spans="1:26" ht="15" customHeight="1" x14ac:dyDescent="0.25">
      <c r="A96" s="80"/>
      <c r="B96" s="54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77"/>
    </row>
    <row r="97" spans="1:19" ht="15" customHeight="1" x14ac:dyDescent="0.25">
      <c r="A97" s="80"/>
      <c r="B97" s="125"/>
      <c r="C97" s="125"/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77"/>
    </row>
    <row r="98" spans="1:19" ht="15" customHeight="1" x14ac:dyDescent="0.25">
      <c r="A98" s="82"/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77"/>
    </row>
    <row r="99" spans="1:19" ht="15" customHeight="1" x14ac:dyDescent="0.25">
      <c r="A99" s="128"/>
      <c r="B99" s="125"/>
      <c r="C99" s="125"/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6"/>
    </row>
    <row r="100" spans="1:19" ht="15" customHeight="1" x14ac:dyDescent="0.25">
      <c r="A100" s="128"/>
      <c r="B100" s="125"/>
      <c r="C100" s="125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6"/>
    </row>
    <row r="101" spans="1:19" ht="15" customHeight="1" x14ac:dyDescent="0.25">
      <c r="A101" s="128"/>
      <c r="B101" s="125"/>
      <c r="C101" s="125"/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6"/>
    </row>
    <row r="102" spans="1:19" ht="15" customHeight="1" x14ac:dyDescent="0.25">
      <c r="A102" s="128"/>
      <c r="B102" s="125"/>
      <c r="C102" s="125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6"/>
    </row>
    <row r="103" spans="1:19" ht="15" customHeight="1" x14ac:dyDescent="0.25">
      <c r="A103" s="128"/>
      <c r="B103" s="125"/>
      <c r="C103" s="125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6"/>
    </row>
    <row r="104" spans="1:19" ht="15" customHeight="1" x14ac:dyDescent="0.25">
      <c r="A104" s="128"/>
      <c r="B104" s="125"/>
      <c r="C104" s="125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6"/>
    </row>
    <row r="105" spans="1:19" ht="15" customHeight="1" x14ac:dyDescent="0.25">
      <c r="A105" s="128"/>
      <c r="B105" s="125"/>
      <c r="C105" s="125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6"/>
    </row>
    <row r="106" spans="1:19" ht="15" customHeight="1" x14ac:dyDescent="0.25">
      <c r="A106" s="128"/>
      <c r="B106" s="125"/>
      <c r="C106" s="125"/>
      <c r="D106" s="125"/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6"/>
    </row>
    <row r="107" spans="1:19" ht="15" customHeight="1" x14ac:dyDescent="0.25">
      <c r="A107" s="128"/>
      <c r="B107" s="125"/>
      <c r="C107" s="125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6"/>
    </row>
    <row r="108" spans="1:19" ht="15" customHeight="1" x14ac:dyDescent="0.25">
      <c r="A108" s="128"/>
      <c r="B108" s="125"/>
      <c r="C108" s="125"/>
      <c r="D108" s="125"/>
      <c r="E108" s="125"/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6"/>
    </row>
    <row r="109" spans="1:19" ht="15" customHeight="1" x14ac:dyDescent="0.25">
      <c r="A109" s="128"/>
      <c r="B109" s="125"/>
      <c r="C109" s="125"/>
      <c r="D109" s="125"/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6"/>
    </row>
    <row r="110" spans="1:19" ht="15" customHeight="1" x14ac:dyDescent="0.25">
      <c r="A110" s="128"/>
      <c r="B110" s="125"/>
      <c r="C110" s="125"/>
      <c r="D110" s="125"/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6"/>
    </row>
    <row r="111" spans="1:19" ht="15" customHeight="1" x14ac:dyDescent="0.25">
      <c r="A111" s="128"/>
      <c r="B111" s="125"/>
      <c r="C111" s="125"/>
      <c r="D111" s="125"/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6"/>
    </row>
    <row r="112" spans="1:19" ht="15" customHeight="1" x14ac:dyDescent="0.25">
      <c r="A112" s="128"/>
      <c r="B112" s="125"/>
      <c r="C112" s="125"/>
      <c r="D112" s="125"/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6"/>
    </row>
    <row r="113" spans="1:19" ht="15" customHeight="1" x14ac:dyDescent="0.25">
      <c r="A113" s="128"/>
      <c r="B113" s="125"/>
      <c r="C113" s="125"/>
      <c r="D113" s="125"/>
      <c r="E113" s="125"/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6"/>
    </row>
    <row r="114" spans="1:19" ht="15" customHeight="1" x14ac:dyDescent="0.25">
      <c r="A114" s="128"/>
      <c r="B114" s="125"/>
      <c r="C114" s="125"/>
      <c r="D114" s="125"/>
      <c r="E114" s="125"/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6"/>
    </row>
    <row r="115" spans="1:19" ht="15" customHeight="1" x14ac:dyDescent="0.25">
      <c r="A115" s="128"/>
      <c r="B115" s="125"/>
      <c r="C115" s="125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6"/>
    </row>
    <row r="116" spans="1:19" ht="15" customHeight="1" x14ac:dyDescent="0.25">
      <c r="A116" s="128"/>
      <c r="B116" s="125"/>
      <c r="C116" s="125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6"/>
    </row>
    <row r="117" spans="1:19" ht="15" customHeight="1" x14ac:dyDescent="0.25">
      <c r="A117" s="128"/>
      <c r="B117" s="125"/>
      <c r="C117" s="125"/>
      <c r="D117" s="125"/>
      <c r="E117" s="125"/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6"/>
    </row>
    <row r="118" spans="1:19" ht="15" customHeight="1" x14ac:dyDescent="0.25">
      <c r="A118" s="128"/>
      <c r="B118" s="125"/>
      <c r="C118" s="125"/>
      <c r="D118" s="125"/>
      <c r="E118" s="125"/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6"/>
    </row>
    <row r="119" spans="1:19" ht="15" customHeight="1" x14ac:dyDescent="0.25">
      <c r="A119" s="128"/>
      <c r="B119" s="125"/>
      <c r="C119" s="125"/>
      <c r="D119" s="125"/>
      <c r="E119" s="125"/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6"/>
    </row>
    <row r="120" spans="1:19" ht="15" customHeight="1" x14ac:dyDescent="0.25">
      <c r="A120" s="128"/>
      <c r="B120" s="125"/>
      <c r="C120" s="125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6"/>
    </row>
    <row r="121" spans="1:19" ht="15" customHeight="1" x14ac:dyDescent="0.25">
      <c r="A121" s="128"/>
      <c r="B121" s="125"/>
      <c r="C121" s="125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6"/>
    </row>
    <row r="122" spans="1:19" ht="15" customHeight="1" x14ac:dyDescent="0.25">
      <c r="A122" s="128"/>
      <c r="B122" s="125"/>
      <c r="C122" s="125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6"/>
    </row>
    <row r="123" spans="1:19" ht="15" customHeight="1" x14ac:dyDescent="0.25">
      <c r="A123" s="128"/>
      <c r="B123" s="125"/>
      <c r="C123" s="125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6"/>
    </row>
    <row r="124" spans="1:19" ht="15" customHeight="1" x14ac:dyDescent="0.25">
      <c r="A124" s="128"/>
      <c r="B124" s="125"/>
      <c r="C124" s="125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6"/>
    </row>
    <row r="125" spans="1:19" ht="15" customHeight="1" x14ac:dyDescent="0.25">
      <c r="A125" s="128"/>
      <c r="B125" s="125"/>
      <c r="C125" s="125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6"/>
    </row>
    <row r="126" spans="1:19" ht="15" customHeight="1" x14ac:dyDescent="0.25">
      <c r="A126" s="128"/>
      <c r="B126" s="125"/>
      <c r="C126" s="125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6"/>
    </row>
    <row r="127" spans="1:19" ht="15" customHeight="1" x14ac:dyDescent="0.25">
      <c r="A127" s="128"/>
      <c r="B127" s="125"/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6"/>
    </row>
    <row r="128" spans="1:19" ht="15" customHeight="1" x14ac:dyDescent="0.25">
      <c r="A128" s="128"/>
      <c r="B128" s="125"/>
      <c r="C128" s="125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6"/>
    </row>
    <row r="129" spans="1:27" ht="15" customHeight="1" x14ac:dyDescent="0.25">
      <c r="A129" s="128"/>
      <c r="B129" s="125"/>
      <c r="C129" s="125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6"/>
    </row>
    <row r="130" spans="1:27" ht="15" customHeight="1" x14ac:dyDescent="0.25">
      <c r="A130" s="128"/>
      <c r="B130" s="125"/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6"/>
    </row>
    <row r="131" spans="1:27" ht="15" customHeight="1" x14ac:dyDescent="0.25">
      <c r="A131" s="128"/>
      <c r="B131" s="125"/>
      <c r="C131" s="125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6"/>
    </row>
    <row r="132" spans="1:27" ht="15" customHeight="1" x14ac:dyDescent="0.25">
      <c r="A132" s="5"/>
      <c r="B132" s="125"/>
      <c r="C132" s="125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6"/>
    </row>
    <row r="133" spans="1:27" ht="15" customHeight="1" x14ac:dyDescent="0.25">
      <c r="A133" s="5"/>
      <c r="B133" s="125"/>
      <c r="C133" s="125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6"/>
    </row>
    <row r="134" spans="1:27" ht="15" customHeight="1" x14ac:dyDescent="0.25">
      <c r="A134" s="5"/>
      <c r="B134" s="125"/>
      <c r="C134" s="125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6"/>
    </row>
    <row r="135" spans="1:27" ht="15" customHeight="1" x14ac:dyDescent="0.25">
      <c r="A135" s="5"/>
      <c r="B135" s="125"/>
      <c r="C135" s="125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6"/>
    </row>
    <row r="136" spans="1:27" x14ac:dyDescent="0.25">
      <c r="A136" s="15"/>
      <c r="S136" s="6"/>
    </row>
    <row r="137" spans="1:27" ht="15" customHeight="1" x14ac:dyDescent="0.25">
      <c r="A137" s="14"/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6"/>
    </row>
    <row r="138" spans="1:27" ht="15" customHeight="1" x14ac:dyDescent="0.25">
      <c r="A138" s="14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6"/>
    </row>
    <row r="139" spans="1:27" ht="15" customHeight="1" x14ac:dyDescent="0.25">
      <c r="A139" s="14"/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6"/>
    </row>
    <row r="140" spans="1:27" ht="15" customHeight="1" x14ac:dyDescent="0.25">
      <c r="A140" s="80"/>
      <c r="B140" s="54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76"/>
    </row>
    <row r="141" spans="1:27" ht="15" customHeight="1" x14ac:dyDescent="0.25">
      <c r="A141" s="80"/>
      <c r="B141" s="54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76"/>
    </row>
    <row r="142" spans="1:27" ht="15" customHeight="1" x14ac:dyDescent="0.25">
      <c r="A142" s="83"/>
      <c r="B142" s="59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78"/>
    </row>
    <row r="143" spans="1:27" x14ac:dyDescent="0.25">
      <c r="G143" s="30"/>
      <c r="AA143" s="2"/>
    </row>
    <row r="144" spans="1:27" ht="15" customHeight="1" x14ac:dyDescent="0.25">
      <c r="G144" s="30"/>
      <c r="AA144" s="2"/>
    </row>
    <row r="145" spans="7:27" x14ac:dyDescent="0.25">
      <c r="G145" s="30"/>
      <c r="AA145" s="2"/>
    </row>
    <row r="146" spans="7:27" x14ac:dyDescent="0.25">
      <c r="G146" s="30"/>
      <c r="AA146" s="2"/>
    </row>
    <row r="147" spans="7:27" x14ac:dyDescent="0.25">
      <c r="G147" s="30"/>
      <c r="AA147" s="2"/>
    </row>
    <row r="148" spans="7:27" x14ac:dyDescent="0.25">
      <c r="G148" s="30"/>
      <c r="AA148" s="2"/>
    </row>
    <row r="149" spans="7:27" x14ac:dyDescent="0.25">
      <c r="G149" s="30"/>
      <c r="AA149" s="2"/>
    </row>
    <row r="150" spans="7:27" x14ac:dyDescent="0.25">
      <c r="G150" s="30"/>
      <c r="AA150" s="2"/>
    </row>
    <row r="151" spans="7:27" x14ac:dyDescent="0.25">
      <c r="G151" s="30"/>
      <c r="AA151" s="2"/>
    </row>
    <row r="152" spans="7:27" x14ac:dyDescent="0.25">
      <c r="G152" s="30"/>
      <c r="AA152" s="2"/>
    </row>
    <row r="153" spans="7:27" x14ac:dyDescent="0.25">
      <c r="G153" s="30"/>
      <c r="AA153" s="2"/>
    </row>
    <row r="154" spans="7:27" x14ac:dyDescent="0.25">
      <c r="G154" s="30"/>
      <c r="AA154" s="2"/>
    </row>
    <row r="155" spans="7:27" x14ac:dyDescent="0.25">
      <c r="G155" s="30"/>
      <c r="AA155" s="2"/>
    </row>
    <row r="156" spans="7:27" x14ac:dyDescent="0.25">
      <c r="G156" s="30"/>
      <c r="AA156" s="2"/>
    </row>
    <row r="157" spans="7:27" x14ac:dyDescent="0.25">
      <c r="G157" s="30"/>
      <c r="AA157" s="2"/>
    </row>
    <row r="158" spans="7:27" x14ac:dyDescent="0.25">
      <c r="G158" s="30"/>
      <c r="AA158" s="2"/>
    </row>
    <row r="159" spans="7:27" x14ac:dyDescent="0.25">
      <c r="G159" s="30"/>
      <c r="AA159" s="2"/>
    </row>
    <row r="160" spans="7:27" x14ac:dyDescent="0.25">
      <c r="G160" s="30"/>
      <c r="AA160" s="2"/>
    </row>
    <row r="161" spans="7:27" x14ac:dyDescent="0.25">
      <c r="G161" s="30"/>
      <c r="AA161" s="2"/>
    </row>
    <row r="162" spans="7:27" x14ac:dyDescent="0.25">
      <c r="G162" s="30"/>
      <c r="AA162" s="2"/>
    </row>
    <row r="163" spans="7:27" x14ac:dyDescent="0.25">
      <c r="G163" s="30"/>
      <c r="AA163" s="2"/>
    </row>
    <row r="164" spans="7:27" x14ac:dyDescent="0.25">
      <c r="G164" s="30"/>
      <c r="AA164" s="2"/>
    </row>
    <row r="165" spans="7:27" x14ac:dyDescent="0.25">
      <c r="G165" s="30"/>
      <c r="AA165" s="2"/>
    </row>
    <row r="166" spans="7:27" x14ac:dyDescent="0.25">
      <c r="G166" s="30"/>
      <c r="AA166" s="2"/>
    </row>
    <row r="167" spans="7:27" x14ac:dyDescent="0.25">
      <c r="G167" s="30"/>
      <c r="AA167" s="2"/>
    </row>
    <row r="168" spans="7:27" x14ac:dyDescent="0.25">
      <c r="G168" s="30"/>
      <c r="AA168" s="2"/>
    </row>
    <row r="169" spans="7:27" x14ac:dyDescent="0.25">
      <c r="G169" s="30"/>
      <c r="AA169" s="2"/>
    </row>
    <row r="170" spans="7:27" x14ac:dyDescent="0.25">
      <c r="G170" s="30"/>
      <c r="AA170" s="2"/>
    </row>
    <row r="171" spans="7:27" x14ac:dyDescent="0.25">
      <c r="G171" s="30"/>
      <c r="AA171" s="2"/>
    </row>
    <row r="172" spans="7:27" x14ac:dyDescent="0.25">
      <c r="G172" s="30"/>
      <c r="AA172" s="2"/>
    </row>
    <row r="173" spans="7:27" x14ac:dyDescent="0.25">
      <c r="G173" s="30"/>
      <c r="AA173" s="2"/>
    </row>
    <row r="174" spans="7:27" x14ac:dyDescent="0.25">
      <c r="G174" s="30"/>
      <c r="AA174" s="2"/>
    </row>
    <row r="175" spans="7:27" x14ac:dyDescent="0.25">
      <c r="G175" s="30"/>
      <c r="AA175" s="2"/>
    </row>
    <row r="176" spans="7:27" x14ac:dyDescent="0.25">
      <c r="G176" s="30"/>
      <c r="AA176" s="2"/>
    </row>
    <row r="177" spans="7:27" x14ac:dyDescent="0.25">
      <c r="G177" s="30"/>
      <c r="AA177" s="2"/>
    </row>
    <row r="178" spans="7:27" x14ac:dyDescent="0.25">
      <c r="G178" s="30"/>
      <c r="AA178" s="2"/>
    </row>
    <row r="179" spans="7:27" x14ac:dyDescent="0.25">
      <c r="G179" s="30"/>
      <c r="AA179" s="2"/>
    </row>
    <row r="180" spans="7:27" x14ac:dyDescent="0.25">
      <c r="G180" s="30"/>
      <c r="AA180" s="2"/>
    </row>
    <row r="181" spans="7:27" x14ac:dyDescent="0.25">
      <c r="G181" s="30"/>
      <c r="AA181" s="2"/>
    </row>
    <row r="182" spans="7:27" ht="15" customHeight="1" x14ac:dyDescent="0.25">
      <c r="G182" s="30"/>
      <c r="AA182" s="2"/>
    </row>
    <row r="183" spans="7:27" ht="15" customHeight="1" x14ac:dyDescent="0.25">
      <c r="G183" s="30"/>
      <c r="AA183" s="2"/>
    </row>
    <row r="184" spans="7:27" ht="15" customHeight="1" x14ac:dyDescent="0.25">
      <c r="G184" s="30"/>
      <c r="AA184" s="2"/>
    </row>
    <row r="185" spans="7:27" ht="15" customHeight="1" x14ac:dyDescent="0.25">
      <c r="G185" s="30"/>
      <c r="AA185" s="2"/>
    </row>
    <row r="186" spans="7:27" ht="15" customHeight="1" x14ac:dyDescent="0.25">
      <c r="G186" s="30"/>
      <c r="AA186" s="2"/>
    </row>
    <row r="187" spans="7:27" ht="15" customHeight="1" x14ac:dyDescent="0.25">
      <c r="G187" s="30"/>
      <c r="AA187" s="2"/>
    </row>
    <row r="188" spans="7:27" x14ac:dyDescent="0.25">
      <c r="G188" s="30"/>
      <c r="AA188" s="2"/>
    </row>
    <row r="189" spans="7:27" ht="15" customHeight="1" x14ac:dyDescent="0.25">
      <c r="G189" s="30"/>
      <c r="AA189" s="2"/>
    </row>
    <row r="190" spans="7:27" x14ac:dyDescent="0.25">
      <c r="G190" s="30"/>
      <c r="AA190" s="2"/>
    </row>
    <row r="191" spans="7:27" x14ac:dyDescent="0.25">
      <c r="G191" s="30"/>
      <c r="AA191" s="2"/>
    </row>
    <row r="192" spans="7:27" x14ac:dyDescent="0.25">
      <c r="G192" s="30"/>
      <c r="AA192" s="2"/>
    </row>
    <row r="193" spans="7:27" x14ac:dyDescent="0.25">
      <c r="G193" s="30"/>
      <c r="AA193" s="2"/>
    </row>
    <row r="194" spans="7:27" x14ac:dyDescent="0.25">
      <c r="G194" s="30"/>
      <c r="AA194" s="2"/>
    </row>
    <row r="195" spans="7:27" x14ac:dyDescent="0.25">
      <c r="G195" s="30"/>
      <c r="AA195" s="2"/>
    </row>
    <row r="196" spans="7:27" x14ac:dyDescent="0.25">
      <c r="G196" s="30"/>
      <c r="AA196" s="2"/>
    </row>
    <row r="197" spans="7:27" x14ac:dyDescent="0.25">
      <c r="G197" s="30"/>
      <c r="AA197" s="2"/>
    </row>
    <row r="198" spans="7:27" x14ac:dyDescent="0.25">
      <c r="G198" s="30"/>
      <c r="AA198" s="2"/>
    </row>
    <row r="199" spans="7:27" x14ac:dyDescent="0.25">
      <c r="G199" s="30"/>
      <c r="AA199" s="2"/>
    </row>
    <row r="200" spans="7:27" x14ac:dyDescent="0.25">
      <c r="G200" s="30"/>
      <c r="AA200" s="2"/>
    </row>
    <row r="201" spans="7:27" x14ac:dyDescent="0.25">
      <c r="G201" s="30"/>
      <c r="AA201" s="2"/>
    </row>
    <row r="202" spans="7:27" x14ac:dyDescent="0.25">
      <c r="G202" s="30"/>
      <c r="AA202" s="2"/>
    </row>
    <row r="203" spans="7:27" x14ac:dyDescent="0.25">
      <c r="G203" s="30"/>
      <c r="AA203" s="2"/>
    </row>
    <row r="204" spans="7:27" x14ac:dyDescent="0.25">
      <c r="G204" s="30"/>
      <c r="AA204" s="2"/>
    </row>
    <row r="205" spans="7:27" x14ac:dyDescent="0.25">
      <c r="G205" s="30"/>
      <c r="AA205" s="2"/>
    </row>
    <row r="206" spans="7:27" x14ac:dyDescent="0.25">
      <c r="G206" s="30"/>
      <c r="AA206" s="2"/>
    </row>
    <row r="207" spans="7:27" x14ac:dyDescent="0.25">
      <c r="G207" s="30"/>
      <c r="AA207" s="2"/>
    </row>
    <row r="208" spans="7:27" x14ac:dyDescent="0.25">
      <c r="G208" s="30"/>
      <c r="AA208" s="2"/>
    </row>
    <row r="209" spans="7:27" x14ac:dyDescent="0.25">
      <c r="G209" s="30"/>
      <c r="AA209" s="2"/>
    </row>
    <row r="210" spans="7:27" x14ac:dyDescent="0.25">
      <c r="G210" s="30"/>
      <c r="AA210" s="2"/>
    </row>
    <row r="211" spans="7:27" x14ac:dyDescent="0.25">
      <c r="G211" s="30"/>
      <c r="AA211" s="2"/>
    </row>
    <row r="212" spans="7:27" x14ac:dyDescent="0.25">
      <c r="G212" s="30"/>
      <c r="AA212" s="2"/>
    </row>
    <row r="213" spans="7:27" x14ac:dyDescent="0.25">
      <c r="G213" s="30"/>
      <c r="AA213" s="2"/>
    </row>
    <row r="214" spans="7:27" x14ac:dyDescent="0.25">
      <c r="G214" s="30"/>
      <c r="AA214" s="2"/>
    </row>
    <row r="215" spans="7:27" x14ac:dyDescent="0.25">
      <c r="G215" s="30"/>
      <c r="AA215" s="2"/>
    </row>
    <row r="216" spans="7:27" x14ac:dyDescent="0.25">
      <c r="G216" s="30"/>
      <c r="AA216" s="2"/>
    </row>
    <row r="217" spans="7:27" x14ac:dyDescent="0.25">
      <c r="G217" s="30"/>
      <c r="AA217" s="2"/>
    </row>
    <row r="218" spans="7:27" x14ac:dyDescent="0.25">
      <c r="G218" s="30"/>
      <c r="AA218" s="2"/>
    </row>
    <row r="219" spans="7:27" x14ac:dyDescent="0.25">
      <c r="G219" s="30"/>
      <c r="AA219" s="2"/>
    </row>
    <row r="220" spans="7:27" x14ac:dyDescent="0.25">
      <c r="G220" s="30"/>
      <c r="AA220" s="2"/>
    </row>
    <row r="221" spans="7:27" x14ac:dyDescent="0.25">
      <c r="G221" s="30"/>
      <c r="AA221" s="2"/>
    </row>
    <row r="222" spans="7:27" x14ac:dyDescent="0.25">
      <c r="G222" s="30"/>
      <c r="AA222" s="2"/>
    </row>
    <row r="223" spans="7:27" x14ac:dyDescent="0.25">
      <c r="G223" s="30"/>
      <c r="AA223" s="2"/>
    </row>
    <row r="224" spans="7:27" x14ac:dyDescent="0.25">
      <c r="G224" s="30"/>
      <c r="AA224" s="2"/>
    </row>
    <row r="225" spans="7:27" x14ac:dyDescent="0.25">
      <c r="G225" s="30"/>
      <c r="AA225" s="2"/>
    </row>
    <row r="226" spans="7:27" x14ac:dyDescent="0.25">
      <c r="G226" s="30"/>
      <c r="AA226" s="2"/>
    </row>
    <row r="227" spans="7:27" ht="15" customHeight="1" x14ac:dyDescent="0.25">
      <c r="G227" s="30"/>
      <c r="AA227" s="2"/>
    </row>
    <row r="228" spans="7:27" ht="15" customHeight="1" x14ac:dyDescent="0.25">
      <c r="G228" s="30"/>
      <c r="AA228" s="2"/>
    </row>
    <row r="229" spans="7:27" ht="15" customHeight="1" x14ac:dyDescent="0.25">
      <c r="G229" s="30"/>
      <c r="AA229" s="2"/>
    </row>
    <row r="230" spans="7:27" ht="15" customHeight="1" x14ac:dyDescent="0.25">
      <c r="G230" s="30"/>
      <c r="AA230" s="2"/>
    </row>
    <row r="231" spans="7:27" ht="15" customHeight="1" x14ac:dyDescent="0.25">
      <c r="G231" s="30"/>
      <c r="AA231" s="2"/>
    </row>
    <row r="232" spans="7:27" ht="15" customHeight="1" x14ac:dyDescent="0.25">
      <c r="G232" s="30"/>
      <c r="AA232" s="2"/>
    </row>
    <row r="233" spans="7:27" x14ac:dyDescent="0.25">
      <c r="G233" s="30"/>
      <c r="AA233" s="2"/>
    </row>
    <row r="234" spans="7:27" ht="15" customHeight="1" x14ac:dyDescent="0.25">
      <c r="G234" s="30"/>
      <c r="AA234" s="2"/>
    </row>
    <row r="235" spans="7:27" x14ac:dyDescent="0.25">
      <c r="G235" s="30"/>
      <c r="AA235" s="2"/>
    </row>
    <row r="236" spans="7:27" x14ac:dyDescent="0.25">
      <c r="G236" s="30"/>
      <c r="AA236" s="2"/>
    </row>
    <row r="237" spans="7:27" x14ac:dyDescent="0.25">
      <c r="G237" s="30"/>
      <c r="AA237" s="2"/>
    </row>
    <row r="238" spans="7:27" x14ac:dyDescent="0.25">
      <c r="G238" s="30"/>
      <c r="AA238" s="2"/>
    </row>
    <row r="239" spans="7:27" x14ac:dyDescent="0.25">
      <c r="G239" s="30"/>
      <c r="AA239" s="2"/>
    </row>
    <row r="240" spans="7:27" x14ac:dyDescent="0.25">
      <c r="G240" s="30"/>
      <c r="AA240" s="2"/>
    </row>
    <row r="241" spans="7:27" x14ac:dyDescent="0.25">
      <c r="G241" s="30"/>
      <c r="AA241" s="2"/>
    </row>
    <row r="242" spans="7:27" x14ac:dyDescent="0.25">
      <c r="G242" s="30"/>
      <c r="AA242" s="2"/>
    </row>
    <row r="243" spans="7:27" x14ac:dyDescent="0.25">
      <c r="G243" s="30"/>
      <c r="AA243" s="2"/>
    </row>
    <row r="244" spans="7:27" x14ac:dyDescent="0.25">
      <c r="G244" s="30"/>
      <c r="AA244" s="2"/>
    </row>
    <row r="245" spans="7:27" x14ac:dyDescent="0.25">
      <c r="G245" s="30"/>
      <c r="AA245" s="2"/>
    </row>
    <row r="246" spans="7:27" x14ac:dyDescent="0.25">
      <c r="G246" s="30"/>
      <c r="AA246" s="2"/>
    </row>
    <row r="247" spans="7:27" x14ac:dyDescent="0.25">
      <c r="G247" s="30"/>
      <c r="AA247" s="2"/>
    </row>
    <row r="248" spans="7:27" x14ac:dyDescent="0.25">
      <c r="G248" s="30"/>
      <c r="AA248" s="2"/>
    </row>
    <row r="249" spans="7:27" x14ac:dyDescent="0.25">
      <c r="G249" s="30"/>
      <c r="AA249" s="2"/>
    </row>
    <row r="250" spans="7:27" x14ac:dyDescent="0.25">
      <c r="G250" s="30"/>
      <c r="AA250" s="2"/>
    </row>
    <row r="251" spans="7:27" x14ac:dyDescent="0.25">
      <c r="G251" s="30"/>
      <c r="AA251" s="2"/>
    </row>
    <row r="252" spans="7:27" x14ac:dyDescent="0.25">
      <c r="G252" s="30"/>
      <c r="AA252" s="2"/>
    </row>
    <row r="253" spans="7:27" x14ac:dyDescent="0.25">
      <c r="G253" s="30"/>
      <c r="AA253" s="2"/>
    </row>
    <row r="254" spans="7:27" x14ac:dyDescent="0.25">
      <c r="G254" s="30"/>
      <c r="AA254" s="2"/>
    </row>
    <row r="255" spans="7:27" x14ac:dyDescent="0.25">
      <c r="G255" s="30"/>
      <c r="AA255" s="2"/>
    </row>
    <row r="256" spans="7:27" x14ac:dyDescent="0.25">
      <c r="G256" s="30"/>
      <c r="AA256" s="2"/>
    </row>
    <row r="257" spans="7:27" x14ac:dyDescent="0.25">
      <c r="G257" s="30"/>
      <c r="AA257" s="2"/>
    </row>
    <row r="258" spans="7:27" x14ac:dyDescent="0.25">
      <c r="G258" s="30"/>
      <c r="AA258" s="2"/>
    </row>
    <row r="259" spans="7:27" x14ac:dyDescent="0.25">
      <c r="G259" s="30"/>
      <c r="AA259" s="2"/>
    </row>
    <row r="260" spans="7:27" x14ac:dyDescent="0.25">
      <c r="G260" s="30"/>
      <c r="AA260" s="2"/>
    </row>
    <row r="261" spans="7:27" x14ac:dyDescent="0.25">
      <c r="G261" s="30"/>
      <c r="AA261" s="2"/>
    </row>
    <row r="262" spans="7:27" x14ac:dyDescent="0.25">
      <c r="G262" s="30"/>
      <c r="AA262" s="2"/>
    </row>
    <row r="263" spans="7:27" x14ac:dyDescent="0.25">
      <c r="G263" s="30"/>
      <c r="AA263" s="2"/>
    </row>
    <row r="264" spans="7:27" x14ac:dyDescent="0.25">
      <c r="G264" s="30"/>
      <c r="AA264" s="2"/>
    </row>
    <row r="265" spans="7:27" x14ac:dyDescent="0.25">
      <c r="G265" s="30"/>
      <c r="AA265" s="2"/>
    </row>
    <row r="266" spans="7:27" x14ac:dyDescent="0.25">
      <c r="G266" s="30"/>
      <c r="AA266" s="2"/>
    </row>
    <row r="267" spans="7:27" x14ac:dyDescent="0.25">
      <c r="G267" s="30"/>
      <c r="AA267" s="2"/>
    </row>
    <row r="268" spans="7:27" x14ac:dyDescent="0.25">
      <c r="G268" s="30"/>
      <c r="AA268" s="2"/>
    </row>
    <row r="269" spans="7:27" x14ac:dyDescent="0.25">
      <c r="G269" s="30"/>
      <c r="AA269" s="2"/>
    </row>
    <row r="270" spans="7:27" x14ac:dyDescent="0.25">
      <c r="G270" s="30"/>
      <c r="AA270" s="2"/>
    </row>
    <row r="271" spans="7:27" x14ac:dyDescent="0.25">
      <c r="G271" s="30"/>
      <c r="AA271" s="2"/>
    </row>
    <row r="272" spans="7:27" x14ac:dyDescent="0.25">
      <c r="G272" s="30"/>
      <c r="AA272" s="2"/>
    </row>
    <row r="273" spans="7:27" x14ac:dyDescent="0.25">
      <c r="G273" s="30"/>
      <c r="AA273" s="2"/>
    </row>
  </sheetData>
  <mergeCells count="12">
    <mergeCell ref="B11:R49"/>
    <mergeCell ref="A54:A92"/>
    <mergeCell ref="B54:R92"/>
    <mergeCell ref="B97:R135"/>
    <mergeCell ref="A99:A131"/>
    <mergeCell ref="E1:O3"/>
    <mergeCell ref="E4:E5"/>
    <mergeCell ref="F4:O5"/>
    <mergeCell ref="E6:E7"/>
    <mergeCell ref="F6:O7"/>
    <mergeCell ref="E8:E9"/>
    <mergeCell ref="F8:O9"/>
  </mergeCells>
  <pageMargins left="0.19685039370078741" right="0.19685039370078741" top="0.19685039370078741" bottom="0.19685039370078741" header="0" footer="0.35433070866141736"/>
  <pageSetup paperSize="9" scale="39" fitToHeight="3" orientation="portrait" horizontalDpi="1200" verticalDpi="1200" r:id="rId1"/>
  <headerFooter alignWithMargins="0">
    <oddFooter xml:space="preserve">&amp;C&amp;18Tooshop | M. Santos | &amp;D&amp;R&amp;18Página &amp;P de &amp;N         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273"/>
  <sheetViews>
    <sheetView view="pageBreakPreview" zoomScale="37" zoomScaleNormal="70" zoomScaleSheetLayoutView="37" workbookViewId="0">
      <selection activeCell="T57" sqref="T57"/>
    </sheetView>
  </sheetViews>
  <sheetFormatPr defaultRowHeight="15" x14ac:dyDescent="0.25"/>
  <cols>
    <col min="1" max="1" width="4.7109375" style="2" customWidth="1"/>
    <col min="2" max="2" width="9.140625" style="2"/>
    <col min="3" max="4" width="15.7109375" style="2" customWidth="1"/>
    <col min="5" max="5" width="30.7109375" style="2" customWidth="1"/>
    <col min="6" max="6" width="18.7109375" style="2" customWidth="1"/>
    <col min="7" max="13" width="9.140625" style="2"/>
    <col min="14" max="14" width="25.7109375" style="2" customWidth="1"/>
    <col min="15" max="15" width="30.7109375" style="2" customWidth="1"/>
    <col min="16" max="17" width="15.7109375" style="2" customWidth="1"/>
    <col min="18" max="18" width="9.140625" style="2" customWidth="1"/>
    <col min="19" max="19" width="4.5703125" style="2" customWidth="1"/>
    <col min="20" max="20" width="50.140625" style="2" customWidth="1"/>
    <col min="21" max="21" width="6.85546875" style="2" customWidth="1"/>
    <col min="22" max="22" width="6.5703125" style="2" customWidth="1"/>
    <col min="23" max="23" width="6.7109375" style="2" customWidth="1"/>
    <col min="24" max="24" width="7.28515625" style="2" customWidth="1"/>
    <col min="25" max="25" width="9.140625" style="2"/>
    <col min="26" max="26" width="39" style="2" bestFit="1" customWidth="1"/>
    <col min="27" max="27" width="13.5703125" style="30" bestFit="1" customWidth="1"/>
    <col min="28" max="28" width="10.42578125" style="2" bestFit="1" customWidth="1"/>
    <col min="29" max="29" width="19.42578125" style="2" bestFit="1" customWidth="1"/>
    <col min="30" max="30" width="5.42578125" style="2" bestFit="1" customWidth="1"/>
    <col min="31" max="16384" width="9.140625" style="2"/>
  </cols>
  <sheetData>
    <row r="1" spans="1:30" ht="15" customHeight="1" x14ac:dyDescent="0.25">
      <c r="A1" s="13"/>
      <c r="B1" s="3"/>
      <c r="C1" s="3"/>
      <c r="D1" s="3"/>
      <c r="E1" s="116" t="s">
        <v>3</v>
      </c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3"/>
      <c r="Q1" s="3"/>
      <c r="R1" s="3"/>
      <c r="S1" s="4"/>
      <c r="T1" s="10"/>
      <c r="Z1" s="49" t="s">
        <v>4</v>
      </c>
      <c r="AA1" s="88"/>
      <c r="AB1" s="102"/>
      <c r="AC1" s="103"/>
      <c r="AD1" s="104"/>
    </row>
    <row r="2" spans="1:30" ht="15" customHeight="1" x14ac:dyDescent="0.25">
      <c r="A2" s="14"/>
      <c r="B2" s="56"/>
      <c r="C2" s="56"/>
      <c r="D2" s="56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58"/>
      <c r="Q2" s="56"/>
      <c r="R2" s="56"/>
      <c r="S2" s="6"/>
      <c r="Z2" s="50" t="s">
        <v>477</v>
      </c>
      <c r="AA2" s="89">
        <v>8</v>
      </c>
      <c r="AB2" s="95"/>
      <c r="AC2" s="95"/>
      <c r="AD2" s="105"/>
    </row>
    <row r="3" spans="1:30" ht="15" customHeight="1" x14ac:dyDescent="0.25">
      <c r="A3" s="14"/>
      <c r="B3" s="56"/>
      <c r="C3" s="56"/>
      <c r="D3" s="56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58"/>
      <c r="Q3" s="56"/>
      <c r="R3" s="56"/>
      <c r="S3" s="6"/>
      <c r="Z3" s="50" t="s">
        <v>476</v>
      </c>
      <c r="AA3" s="89">
        <v>3</v>
      </c>
      <c r="AB3" s="95"/>
      <c r="AC3" s="95"/>
      <c r="AD3" s="105"/>
    </row>
    <row r="4" spans="1:30" ht="15" customHeight="1" x14ac:dyDescent="0.25">
      <c r="A4" s="14"/>
      <c r="B4" s="56"/>
      <c r="C4" s="56"/>
      <c r="D4" s="56"/>
      <c r="E4" s="129" t="str">
        <f>"Projeto: "</f>
        <v xml:space="preserve">Projeto: </v>
      </c>
      <c r="F4" s="131" t="str">
        <f>T7</f>
        <v>AU270 - Audi A1</v>
      </c>
      <c r="G4" s="131"/>
      <c r="H4" s="131"/>
      <c r="I4" s="131"/>
      <c r="J4" s="131"/>
      <c r="K4" s="131"/>
      <c r="L4" s="131"/>
      <c r="M4" s="131"/>
      <c r="N4" s="131"/>
      <c r="O4" s="132"/>
      <c r="P4" s="58"/>
      <c r="Q4" s="56"/>
      <c r="R4" s="56"/>
      <c r="S4" s="6"/>
      <c r="Z4" s="50" t="s">
        <v>218</v>
      </c>
      <c r="AA4" s="89"/>
      <c r="AB4" s="95"/>
      <c r="AC4" s="95"/>
      <c r="AD4" s="105"/>
    </row>
    <row r="5" spans="1:30" ht="15" customHeight="1" x14ac:dyDescent="0.25">
      <c r="A5" s="80"/>
      <c r="B5" s="54"/>
      <c r="C5" s="55"/>
      <c r="D5" s="55"/>
      <c r="E5" s="130"/>
      <c r="F5" s="133"/>
      <c r="G5" s="133"/>
      <c r="H5" s="133"/>
      <c r="I5" s="133"/>
      <c r="J5" s="133"/>
      <c r="K5" s="133"/>
      <c r="L5" s="133"/>
      <c r="M5" s="133"/>
      <c r="N5" s="133"/>
      <c r="O5" s="134"/>
      <c r="P5" s="58"/>
      <c r="Q5" s="55"/>
      <c r="R5" s="55"/>
      <c r="S5" s="6"/>
      <c r="Z5" s="50" t="s">
        <v>475</v>
      </c>
      <c r="AA5" s="89">
        <v>6</v>
      </c>
      <c r="AB5" s="95"/>
      <c r="AC5" s="95"/>
      <c r="AD5" s="105"/>
    </row>
    <row r="6" spans="1:30" ht="15" customHeight="1" x14ac:dyDescent="0.25">
      <c r="A6" s="80"/>
      <c r="B6" s="54"/>
      <c r="C6" s="55"/>
      <c r="D6" s="55"/>
      <c r="E6" s="135" t="str">
        <f>"Peça: "</f>
        <v xml:space="preserve">Peça: </v>
      </c>
      <c r="F6" s="136" t="str">
        <f>T8</f>
        <v>82G.831.111_112_311_312 / 82G.833.311</v>
      </c>
      <c r="G6" s="136"/>
      <c r="H6" s="136"/>
      <c r="I6" s="136"/>
      <c r="J6" s="136"/>
      <c r="K6" s="136"/>
      <c r="L6" s="136"/>
      <c r="M6" s="136"/>
      <c r="N6" s="136"/>
      <c r="O6" s="137"/>
      <c r="P6" s="58"/>
      <c r="Q6" s="55"/>
      <c r="R6" s="55"/>
      <c r="S6" s="6"/>
      <c r="T6" s="17" t="s">
        <v>175</v>
      </c>
      <c r="Z6" s="50" t="s">
        <v>249</v>
      </c>
      <c r="AA6" s="89"/>
      <c r="AB6" s="95"/>
      <c r="AC6" s="95"/>
      <c r="AD6" s="105"/>
    </row>
    <row r="7" spans="1:30" ht="15" customHeight="1" x14ac:dyDescent="0.25">
      <c r="A7" s="80"/>
      <c r="B7" s="54"/>
      <c r="C7" s="55"/>
      <c r="D7" s="55"/>
      <c r="E7" s="130"/>
      <c r="F7" s="133"/>
      <c r="G7" s="133"/>
      <c r="H7" s="133"/>
      <c r="I7" s="133"/>
      <c r="J7" s="133"/>
      <c r="K7" s="133"/>
      <c r="L7" s="133"/>
      <c r="M7" s="133"/>
      <c r="N7" s="133"/>
      <c r="O7" s="134"/>
      <c r="P7" s="55"/>
      <c r="Q7" s="55"/>
      <c r="R7" s="55"/>
      <c r="S7" s="6"/>
      <c r="T7" s="53" t="s">
        <v>86</v>
      </c>
      <c r="Z7" s="50" t="s">
        <v>2</v>
      </c>
      <c r="AA7" s="89">
        <f>SUM(AA2:AA6)</f>
        <v>17</v>
      </c>
      <c r="AB7" s="95">
        <f>SUM(AB2:AB6)</f>
        <v>0</v>
      </c>
      <c r="AC7" s="95"/>
      <c r="AD7" s="105"/>
    </row>
    <row r="8" spans="1:30" ht="15" customHeight="1" x14ac:dyDescent="0.25">
      <c r="A8" s="15"/>
      <c r="E8" s="135" t="str">
        <f>"Ano: "</f>
        <v xml:space="preserve">Ano: </v>
      </c>
      <c r="F8" s="136">
        <f>T9</f>
        <v>2017</v>
      </c>
      <c r="G8" s="136"/>
      <c r="H8" s="136"/>
      <c r="I8" s="136"/>
      <c r="J8" s="136"/>
      <c r="K8" s="136"/>
      <c r="L8" s="136"/>
      <c r="M8" s="136"/>
      <c r="N8" s="136"/>
      <c r="O8" s="137"/>
      <c r="S8" s="6"/>
      <c r="T8" s="2" t="s">
        <v>483</v>
      </c>
      <c r="Z8" s="48" t="s">
        <v>5</v>
      </c>
      <c r="AA8" s="90"/>
      <c r="AB8" s="106"/>
      <c r="AC8" s="106"/>
      <c r="AD8" s="107"/>
    </row>
    <row r="9" spans="1:30" ht="15" customHeight="1" x14ac:dyDescent="0.25">
      <c r="A9" s="81"/>
      <c r="B9" s="57"/>
      <c r="C9" s="57"/>
      <c r="D9" s="57"/>
      <c r="E9" s="130"/>
      <c r="F9" s="133"/>
      <c r="G9" s="133"/>
      <c r="H9" s="133"/>
      <c r="I9" s="133"/>
      <c r="J9" s="133"/>
      <c r="K9" s="133"/>
      <c r="L9" s="133"/>
      <c r="M9" s="133"/>
      <c r="N9" s="133"/>
      <c r="O9" s="134"/>
      <c r="P9" s="57"/>
      <c r="Q9" s="57"/>
      <c r="R9" s="57"/>
      <c r="S9" s="6"/>
      <c r="T9" s="2">
        <v>2017</v>
      </c>
      <c r="Z9" s="44" t="s">
        <v>8</v>
      </c>
      <c r="AA9" s="91"/>
      <c r="AB9" s="108"/>
      <c r="AC9" s="108"/>
      <c r="AD9" s="109"/>
    </row>
    <row r="10" spans="1:30" x14ac:dyDescent="0.25">
      <c r="A10" s="81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6"/>
      <c r="Z10" s="44" t="s">
        <v>7</v>
      </c>
      <c r="AA10" s="91"/>
      <c r="AB10" s="108"/>
      <c r="AC10" s="108"/>
      <c r="AD10" s="109"/>
    </row>
    <row r="11" spans="1:30" ht="15" customHeight="1" x14ac:dyDescent="0.25">
      <c r="A11" s="81"/>
      <c r="B11" s="118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6"/>
      <c r="Z11" s="44" t="s">
        <v>41</v>
      </c>
      <c r="AA11" s="91"/>
      <c r="AB11" s="108"/>
      <c r="AC11" s="108"/>
      <c r="AD11" s="109"/>
    </row>
    <row r="12" spans="1:30" ht="15" customHeight="1" x14ac:dyDescent="0.25">
      <c r="A12" s="81"/>
      <c r="B12" s="118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6"/>
      <c r="Z12" s="44" t="s">
        <v>40</v>
      </c>
      <c r="AA12" s="91"/>
      <c r="AB12" s="108"/>
      <c r="AC12" s="108"/>
      <c r="AD12" s="109"/>
    </row>
    <row r="13" spans="1:30" ht="15" customHeight="1" x14ac:dyDescent="0.25">
      <c r="A13" s="81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6"/>
      <c r="T13" s="12"/>
      <c r="Z13" s="44" t="s">
        <v>1</v>
      </c>
      <c r="AA13" s="91"/>
      <c r="AB13" s="108"/>
      <c r="AC13" s="108"/>
      <c r="AD13" s="109"/>
    </row>
    <row r="14" spans="1:30" ht="15" customHeight="1" x14ac:dyDescent="0.25">
      <c r="A14" s="81"/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6"/>
      <c r="T14" s="11"/>
      <c r="Z14" s="96" t="s">
        <v>356</v>
      </c>
      <c r="AA14" s="94"/>
      <c r="AB14" s="110"/>
      <c r="AC14" s="110"/>
      <c r="AD14" s="111"/>
    </row>
    <row r="15" spans="1:30" ht="15" customHeight="1" x14ac:dyDescent="0.25">
      <c r="A15" s="81"/>
      <c r="B15" s="118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6"/>
      <c r="Z15" s="45" t="s">
        <v>353</v>
      </c>
      <c r="AA15" s="98"/>
      <c r="AB15" s="99"/>
      <c r="AC15" s="100"/>
      <c r="AD15" s="101"/>
    </row>
    <row r="16" spans="1:30" ht="15" customHeight="1" x14ac:dyDescent="0.25">
      <c r="A16" s="81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6"/>
      <c r="Z16" s="45" t="s">
        <v>185</v>
      </c>
      <c r="AA16" s="98"/>
      <c r="AB16" s="99"/>
      <c r="AC16" s="100"/>
      <c r="AD16" s="101"/>
    </row>
    <row r="17" spans="1:30" x14ac:dyDescent="0.25">
      <c r="A17" s="81"/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6"/>
      <c r="Z17" s="45" t="s">
        <v>210</v>
      </c>
      <c r="AA17" s="98"/>
      <c r="AB17" s="99"/>
      <c r="AC17" s="100"/>
      <c r="AD17" s="101"/>
    </row>
    <row r="18" spans="1:30" x14ac:dyDescent="0.25">
      <c r="A18" s="81"/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6"/>
      <c r="Z18" s="45" t="s">
        <v>354</v>
      </c>
      <c r="AA18" s="98"/>
      <c r="AB18" s="99"/>
      <c r="AC18" s="100"/>
      <c r="AD18" s="101"/>
    </row>
    <row r="19" spans="1:30" x14ac:dyDescent="0.25">
      <c r="A19" s="81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6"/>
      <c r="Z19" s="45" t="s">
        <v>46</v>
      </c>
      <c r="AA19" s="98"/>
      <c r="AB19" s="99"/>
      <c r="AC19" s="100"/>
      <c r="AD19" s="101">
        <v>2</v>
      </c>
    </row>
    <row r="20" spans="1:30" x14ac:dyDescent="0.25">
      <c r="A20" s="81"/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6"/>
      <c r="Z20" s="45" t="s">
        <v>204</v>
      </c>
      <c r="AA20" s="98"/>
      <c r="AB20" s="99"/>
      <c r="AC20" s="100"/>
      <c r="AD20" s="101">
        <v>7</v>
      </c>
    </row>
    <row r="21" spans="1:30" x14ac:dyDescent="0.25">
      <c r="A21" s="81"/>
      <c r="B21" s="118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6"/>
      <c r="Z21" s="45" t="s">
        <v>143</v>
      </c>
      <c r="AA21" s="98"/>
      <c r="AB21" s="99"/>
      <c r="AC21" s="100"/>
      <c r="AD21" s="101">
        <v>3</v>
      </c>
    </row>
    <row r="22" spans="1:30" x14ac:dyDescent="0.25">
      <c r="A22" s="81"/>
      <c r="B22" s="118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6"/>
      <c r="Z22" s="45" t="s">
        <v>147</v>
      </c>
      <c r="AA22" s="98"/>
      <c r="AB22" s="99"/>
      <c r="AC22" s="100"/>
      <c r="AD22" s="101"/>
    </row>
    <row r="23" spans="1:30" x14ac:dyDescent="0.25">
      <c r="A23" s="81"/>
      <c r="B23" s="118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6"/>
      <c r="Z23" s="45" t="s">
        <v>57</v>
      </c>
      <c r="AA23" s="98"/>
      <c r="AB23" s="99"/>
      <c r="AC23" s="100"/>
      <c r="AD23" s="101">
        <v>3</v>
      </c>
    </row>
    <row r="24" spans="1:30" x14ac:dyDescent="0.25">
      <c r="A24" s="81"/>
      <c r="B24" s="11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6"/>
      <c r="Z24" s="46" t="s">
        <v>52</v>
      </c>
      <c r="AA24" s="98"/>
      <c r="AB24" s="99"/>
      <c r="AC24" s="100"/>
      <c r="AD24" s="101">
        <v>2</v>
      </c>
    </row>
    <row r="25" spans="1:30" x14ac:dyDescent="0.25">
      <c r="A25" s="81"/>
      <c r="B25" s="118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6"/>
      <c r="Z25" s="46"/>
      <c r="AA25" s="98"/>
      <c r="AB25" s="99"/>
      <c r="AC25" s="100"/>
      <c r="AD25" s="101"/>
    </row>
    <row r="26" spans="1:30" x14ac:dyDescent="0.25">
      <c r="A26" s="81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6"/>
      <c r="Z26" s="46"/>
      <c r="AA26" s="92"/>
      <c r="AB26" s="100"/>
      <c r="AC26" s="100"/>
      <c r="AD26" s="101"/>
    </row>
    <row r="27" spans="1:30" x14ac:dyDescent="0.25">
      <c r="A27" s="81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6"/>
      <c r="Z27" s="46"/>
      <c r="AA27" s="92"/>
      <c r="AB27" s="100"/>
      <c r="AC27" s="100"/>
      <c r="AD27" s="101"/>
    </row>
    <row r="28" spans="1:30" x14ac:dyDescent="0.25">
      <c r="A28" s="81"/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6"/>
      <c r="Z28" s="97"/>
      <c r="AA28" s="92" t="s">
        <v>8</v>
      </c>
      <c r="AB28" s="100" t="s">
        <v>7</v>
      </c>
      <c r="AC28" s="100" t="s">
        <v>41</v>
      </c>
      <c r="AD28" s="101" t="s">
        <v>479</v>
      </c>
    </row>
    <row r="29" spans="1:30" x14ac:dyDescent="0.25">
      <c r="A29" s="81"/>
      <c r="B29" s="118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6"/>
      <c r="Z29" s="46"/>
      <c r="AA29" s="92"/>
      <c r="AB29" s="100"/>
      <c r="AC29" s="100"/>
      <c r="AD29" s="101"/>
    </row>
    <row r="30" spans="1:30" x14ac:dyDescent="0.25">
      <c r="A30" s="81"/>
      <c r="B30" s="118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6"/>
      <c r="Z30" s="46"/>
      <c r="AA30" s="92"/>
      <c r="AB30" s="100"/>
      <c r="AC30" s="100"/>
      <c r="AD30" s="101"/>
    </row>
    <row r="31" spans="1:30" x14ac:dyDescent="0.25">
      <c r="A31" s="81"/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6"/>
      <c r="Z31" s="46"/>
      <c r="AA31" s="92"/>
      <c r="AB31" s="100"/>
      <c r="AC31" s="100"/>
      <c r="AD31" s="101"/>
    </row>
    <row r="32" spans="1:30" x14ac:dyDescent="0.25">
      <c r="A32" s="81"/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6"/>
      <c r="Z32" s="46"/>
      <c r="AA32" s="92"/>
      <c r="AB32" s="100"/>
      <c r="AC32" s="100"/>
      <c r="AD32" s="101"/>
    </row>
    <row r="33" spans="1:30" x14ac:dyDescent="0.25">
      <c r="A33" s="81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6"/>
      <c r="Z33" s="46"/>
      <c r="AA33" s="92"/>
      <c r="AB33" s="100"/>
      <c r="AC33" s="100"/>
      <c r="AD33" s="101"/>
    </row>
    <row r="34" spans="1:30" x14ac:dyDescent="0.25">
      <c r="A34" s="81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6"/>
      <c r="Z34" s="97"/>
      <c r="AA34" s="92"/>
      <c r="AB34" s="100"/>
      <c r="AC34" s="100"/>
      <c r="AD34" s="101"/>
    </row>
    <row r="35" spans="1:30" x14ac:dyDescent="0.25">
      <c r="A35" s="81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6"/>
      <c r="Z35" s="46"/>
      <c r="AA35" s="92"/>
      <c r="AB35" s="100"/>
      <c r="AC35" s="100"/>
      <c r="AD35" s="101"/>
    </row>
    <row r="36" spans="1:30" x14ac:dyDescent="0.25">
      <c r="A36" s="81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6"/>
      <c r="Z36" s="46"/>
      <c r="AA36" s="92"/>
      <c r="AB36" s="100"/>
      <c r="AC36" s="100"/>
      <c r="AD36" s="101"/>
    </row>
    <row r="37" spans="1:30" x14ac:dyDescent="0.25">
      <c r="A37" s="81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6"/>
      <c r="Z37" s="46"/>
      <c r="AA37" s="92"/>
      <c r="AB37" s="100"/>
      <c r="AC37" s="100"/>
      <c r="AD37" s="101"/>
    </row>
    <row r="38" spans="1:30" x14ac:dyDescent="0.25">
      <c r="A38" s="81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6"/>
      <c r="Z38" s="46"/>
      <c r="AA38" s="92"/>
      <c r="AB38" s="100"/>
      <c r="AC38" s="100"/>
      <c r="AD38" s="101"/>
    </row>
    <row r="39" spans="1:30" ht="15.75" thickBot="1" x14ac:dyDescent="0.3">
      <c r="A39" s="81"/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6"/>
      <c r="Z39" s="47"/>
      <c r="AA39" s="93"/>
      <c r="AB39" s="112"/>
      <c r="AC39" s="112"/>
      <c r="AD39" s="113"/>
    </row>
    <row r="40" spans="1:30" x14ac:dyDescent="0.25">
      <c r="A40" s="81"/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6"/>
    </row>
    <row r="41" spans="1:30" x14ac:dyDescent="0.25">
      <c r="A41" s="81"/>
      <c r="B41" s="118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6"/>
    </row>
    <row r="42" spans="1:30" x14ac:dyDescent="0.25">
      <c r="A42" s="5"/>
      <c r="B42" s="118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6"/>
    </row>
    <row r="43" spans="1:30" x14ac:dyDescent="0.25">
      <c r="A43" s="5"/>
      <c r="B43" s="118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6"/>
    </row>
    <row r="44" spans="1:30" x14ac:dyDescent="0.25">
      <c r="A44" s="5"/>
      <c r="B44" s="118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6"/>
    </row>
    <row r="45" spans="1:30" x14ac:dyDescent="0.25">
      <c r="A45" s="5"/>
      <c r="B45" s="118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8"/>
      <c r="Q45" s="118"/>
      <c r="R45" s="118"/>
      <c r="S45" s="6"/>
    </row>
    <row r="46" spans="1:30" x14ac:dyDescent="0.25">
      <c r="A46" s="15"/>
      <c r="B46" s="118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6"/>
    </row>
    <row r="47" spans="1:30" ht="15" customHeight="1" x14ac:dyDescent="0.25">
      <c r="A47" s="14"/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6"/>
    </row>
    <row r="48" spans="1:30" ht="15" customHeight="1" x14ac:dyDescent="0.25">
      <c r="A48" s="14"/>
      <c r="B48" s="118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6"/>
    </row>
    <row r="49" spans="1:19" ht="15" customHeight="1" x14ac:dyDescent="0.25">
      <c r="A49" s="14"/>
      <c r="B49" s="118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6"/>
    </row>
    <row r="50" spans="1:19" ht="15" customHeight="1" x14ac:dyDescent="0.25">
      <c r="A50" s="80"/>
      <c r="B50" s="54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6"/>
    </row>
    <row r="51" spans="1:19" ht="15" customHeight="1" x14ac:dyDescent="0.25">
      <c r="A51" s="80"/>
      <c r="B51" s="59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"/>
    </row>
    <row r="52" spans="1:19" ht="15" customHeight="1" x14ac:dyDescent="0.25">
      <c r="A52" s="80"/>
      <c r="B52" s="54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6"/>
    </row>
    <row r="53" spans="1:19" x14ac:dyDescent="0.25">
      <c r="A53" s="15"/>
      <c r="S53" s="6"/>
    </row>
    <row r="54" spans="1:19" ht="15" customHeight="1" x14ac:dyDescent="0.25">
      <c r="A54" s="127" t="s">
        <v>163</v>
      </c>
      <c r="B54" s="118"/>
      <c r="C54" s="118"/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6"/>
    </row>
    <row r="55" spans="1:19" x14ac:dyDescent="0.25">
      <c r="A55" s="127"/>
      <c r="B55" s="118"/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6"/>
    </row>
    <row r="56" spans="1:19" x14ac:dyDescent="0.25">
      <c r="A56" s="127"/>
      <c r="B56" s="118"/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6"/>
    </row>
    <row r="57" spans="1:19" x14ac:dyDescent="0.25">
      <c r="A57" s="127"/>
      <c r="B57" s="118"/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6"/>
    </row>
    <row r="58" spans="1:19" x14ac:dyDescent="0.25">
      <c r="A58" s="127"/>
      <c r="B58" s="118"/>
      <c r="C58" s="118"/>
      <c r="D58" s="118"/>
      <c r="E58" s="118"/>
      <c r="F58" s="118"/>
      <c r="G58" s="118"/>
      <c r="H58" s="118"/>
      <c r="I58" s="118"/>
      <c r="J58" s="118"/>
      <c r="K58" s="118"/>
      <c r="L58" s="118"/>
      <c r="M58" s="118"/>
      <c r="N58" s="118"/>
      <c r="O58" s="118"/>
      <c r="P58" s="118"/>
      <c r="Q58" s="118"/>
      <c r="R58" s="118"/>
      <c r="S58" s="6"/>
    </row>
    <row r="59" spans="1:19" x14ac:dyDescent="0.25">
      <c r="A59" s="127"/>
      <c r="B59" s="118"/>
      <c r="C59" s="118"/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6"/>
    </row>
    <row r="60" spans="1:19" x14ac:dyDescent="0.25">
      <c r="A60" s="127"/>
      <c r="B60" s="118"/>
      <c r="C60" s="118"/>
      <c r="D60" s="118"/>
      <c r="E60" s="118"/>
      <c r="F60" s="118"/>
      <c r="G60" s="118"/>
      <c r="H60" s="118"/>
      <c r="I60" s="118"/>
      <c r="J60" s="118"/>
      <c r="K60" s="118"/>
      <c r="L60" s="118"/>
      <c r="M60" s="118"/>
      <c r="N60" s="118"/>
      <c r="O60" s="118"/>
      <c r="P60" s="118"/>
      <c r="Q60" s="118"/>
      <c r="R60" s="118"/>
      <c r="S60" s="6"/>
    </row>
    <row r="61" spans="1:19" x14ac:dyDescent="0.25">
      <c r="A61" s="127"/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6"/>
    </row>
    <row r="62" spans="1:19" x14ac:dyDescent="0.25">
      <c r="A62" s="127"/>
      <c r="B62" s="118"/>
      <c r="C62" s="118"/>
      <c r="D62" s="118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6"/>
    </row>
    <row r="63" spans="1:19" x14ac:dyDescent="0.25">
      <c r="A63" s="127"/>
      <c r="B63" s="118"/>
      <c r="C63" s="118"/>
      <c r="D63" s="118"/>
      <c r="E63" s="118"/>
      <c r="F63" s="118"/>
      <c r="G63" s="118"/>
      <c r="H63" s="118"/>
      <c r="I63" s="118"/>
      <c r="J63" s="118"/>
      <c r="K63" s="118"/>
      <c r="L63" s="118"/>
      <c r="M63" s="118"/>
      <c r="N63" s="118"/>
      <c r="O63" s="118"/>
      <c r="P63" s="118"/>
      <c r="Q63" s="118"/>
      <c r="R63" s="118"/>
      <c r="S63" s="6"/>
    </row>
    <row r="64" spans="1:19" x14ac:dyDescent="0.25">
      <c r="A64" s="127"/>
      <c r="B64" s="118"/>
      <c r="C64" s="118"/>
      <c r="D64" s="118"/>
      <c r="E64" s="118"/>
      <c r="F64" s="118"/>
      <c r="G64" s="118"/>
      <c r="H64" s="118"/>
      <c r="I64" s="118"/>
      <c r="J64" s="118"/>
      <c r="K64" s="118"/>
      <c r="L64" s="118"/>
      <c r="M64" s="118"/>
      <c r="N64" s="118"/>
      <c r="O64" s="118"/>
      <c r="P64" s="118"/>
      <c r="Q64" s="118"/>
      <c r="R64" s="118"/>
      <c r="S64" s="6"/>
    </row>
    <row r="65" spans="1:19" x14ac:dyDescent="0.25">
      <c r="A65" s="127"/>
      <c r="B65" s="118"/>
      <c r="C65" s="118"/>
      <c r="D65" s="118"/>
      <c r="E65" s="118"/>
      <c r="F65" s="118"/>
      <c r="G65" s="118"/>
      <c r="H65" s="118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6"/>
    </row>
    <row r="66" spans="1:19" x14ac:dyDescent="0.25">
      <c r="A66" s="127"/>
      <c r="B66" s="118"/>
      <c r="C66" s="118"/>
      <c r="D66" s="118"/>
      <c r="E66" s="118"/>
      <c r="F66" s="118"/>
      <c r="G66" s="118"/>
      <c r="H66" s="118"/>
      <c r="I66" s="118"/>
      <c r="J66" s="118"/>
      <c r="K66" s="118"/>
      <c r="L66" s="118"/>
      <c r="M66" s="118"/>
      <c r="N66" s="118"/>
      <c r="O66" s="118"/>
      <c r="P66" s="118"/>
      <c r="Q66" s="118"/>
      <c r="R66" s="118"/>
      <c r="S66" s="6"/>
    </row>
    <row r="67" spans="1:19" x14ac:dyDescent="0.25">
      <c r="A67" s="127"/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6"/>
    </row>
    <row r="68" spans="1:19" x14ac:dyDescent="0.25">
      <c r="A68" s="127"/>
      <c r="B68" s="118"/>
      <c r="C68" s="118"/>
      <c r="D68" s="118"/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118"/>
      <c r="Q68" s="118"/>
      <c r="R68" s="118"/>
      <c r="S68" s="6"/>
    </row>
    <row r="69" spans="1:19" x14ac:dyDescent="0.25">
      <c r="A69" s="127"/>
      <c r="B69" s="118"/>
      <c r="C69" s="118"/>
      <c r="D69" s="118"/>
      <c r="E69" s="118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118"/>
      <c r="Q69" s="118"/>
      <c r="R69" s="118"/>
      <c r="S69" s="6"/>
    </row>
    <row r="70" spans="1:19" x14ac:dyDescent="0.25">
      <c r="A70" s="127"/>
      <c r="B70" s="118"/>
      <c r="C70" s="118"/>
      <c r="D70" s="118"/>
      <c r="E70" s="118"/>
      <c r="F70" s="118"/>
      <c r="G70" s="118"/>
      <c r="H70" s="118"/>
      <c r="I70" s="118"/>
      <c r="J70" s="118"/>
      <c r="K70" s="118"/>
      <c r="L70" s="118"/>
      <c r="M70" s="118"/>
      <c r="N70" s="118"/>
      <c r="O70" s="118"/>
      <c r="P70" s="118"/>
      <c r="Q70" s="118"/>
      <c r="R70" s="118"/>
      <c r="S70" s="6"/>
    </row>
    <row r="71" spans="1:19" x14ac:dyDescent="0.25">
      <c r="A71" s="127"/>
      <c r="B71" s="118"/>
      <c r="C71" s="118"/>
      <c r="D71" s="118"/>
      <c r="E71" s="118"/>
      <c r="F71" s="118"/>
      <c r="G71" s="118"/>
      <c r="H71" s="118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6"/>
    </row>
    <row r="72" spans="1:19" x14ac:dyDescent="0.25">
      <c r="A72" s="127"/>
      <c r="B72" s="118"/>
      <c r="C72" s="118"/>
      <c r="D72" s="118"/>
      <c r="E72" s="118"/>
      <c r="F72" s="118"/>
      <c r="G72" s="118"/>
      <c r="H72" s="118"/>
      <c r="I72" s="118"/>
      <c r="J72" s="118"/>
      <c r="K72" s="118"/>
      <c r="L72" s="118"/>
      <c r="M72" s="118"/>
      <c r="N72" s="118"/>
      <c r="O72" s="118"/>
      <c r="P72" s="118"/>
      <c r="Q72" s="118"/>
      <c r="R72" s="118"/>
      <c r="S72" s="6"/>
    </row>
    <row r="73" spans="1:19" x14ac:dyDescent="0.25">
      <c r="A73" s="127"/>
      <c r="B73" s="118"/>
      <c r="C73" s="118"/>
      <c r="D73" s="118"/>
      <c r="E73" s="118"/>
      <c r="F73" s="118"/>
      <c r="G73" s="118"/>
      <c r="H73" s="118"/>
      <c r="I73" s="118"/>
      <c r="J73" s="118"/>
      <c r="K73" s="118"/>
      <c r="L73" s="118"/>
      <c r="M73" s="118"/>
      <c r="N73" s="118"/>
      <c r="O73" s="118"/>
      <c r="P73" s="118"/>
      <c r="Q73" s="118"/>
      <c r="R73" s="118"/>
      <c r="S73" s="6"/>
    </row>
    <row r="74" spans="1:19" x14ac:dyDescent="0.25">
      <c r="A74" s="127"/>
      <c r="B74" s="118"/>
      <c r="C74" s="118"/>
      <c r="D74" s="118"/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6"/>
    </row>
    <row r="75" spans="1:19" x14ac:dyDescent="0.25">
      <c r="A75" s="127"/>
      <c r="B75" s="118"/>
      <c r="C75" s="118"/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6"/>
    </row>
    <row r="76" spans="1:19" x14ac:dyDescent="0.25">
      <c r="A76" s="127"/>
      <c r="B76" s="118"/>
      <c r="C76" s="118"/>
      <c r="D76" s="118"/>
      <c r="E76" s="118"/>
      <c r="F76" s="118"/>
      <c r="G76" s="118"/>
      <c r="H76" s="118"/>
      <c r="I76" s="118"/>
      <c r="J76" s="118"/>
      <c r="K76" s="118"/>
      <c r="L76" s="118"/>
      <c r="M76" s="118"/>
      <c r="N76" s="118"/>
      <c r="O76" s="118"/>
      <c r="P76" s="118"/>
      <c r="Q76" s="118"/>
      <c r="R76" s="118"/>
      <c r="S76" s="6"/>
    </row>
    <row r="77" spans="1:19" x14ac:dyDescent="0.25">
      <c r="A77" s="127"/>
      <c r="B77" s="118"/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6"/>
    </row>
    <row r="78" spans="1:19" x14ac:dyDescent="0.25">
      <c r="A78" s="127"/>
      <c r="B78" s="118"/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6"/>
    </row>
    <row r="79" spans="1:19" x14ac:dyDescent="0.25">
      <c r="A79" s="127"/>
      <c r="B79" s="118"/>
      <c r="C79" s="118"/>
      <c r="D79" s="118"/>
      <c r="E79" s="118"/>
      <c r="F79" s="118"/>
      <c r="G79" s="118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6"/>
    </row>
    <row r="80" spans="1:19" x14ac:dyDescent="0.25">
      <c r="A80" s="127"/>
      <c r="B80" s="118"/>
      <c r="C80" s="118"/>
      <c r="D80" s="118"/>
      <c r="E80" s="118"/>
      <c r="F80" s="118"/>
      <c r="G80" s="118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6"/>
    </row>
    <row r="81" spans="1:26" x14ac:dyDescent="0.25">
      <c r="A81" s="127"/>
      <c r="B81" s="118"/>
      <c r="C81" s="118"/>
      <c r="D81" s="118"/>
      <c r="E81" s="118"/>
      <c r="F81" s="118"/>
      <c r="G81" s="118"/>
      <c r="H81" s="118"/>
      <c r="I81" s="118"/>
      <c r="J81" s="118"/>
      <c r="K81" s="118"/>
      <c r="L81" s="118"/>
      <c r="M81" s="118"/>
      <c r="N81" s="118"/>
      <c r="O81" s="118"/>
      <c r="P81" s="118"/>
      <c r="Q81" s="118"/>
      <c r="R81" s="118"/>
      <c r="S81" s="6"/>
    </row>
    <row r="82" spans="1:26" x14ac:dyDescent="0.25">
      <c r="A82" s="127"/>
      <c r="B82" s="118"/>
      <c r="C82" s="118"/>
      <c r="D82" s="118"/>
      <c r="E82" s="118"/>
      <c r="F82" s="118"/>
      <c r="G82" s="118"/>
      <c r="H82" s="118"/>
      <c r="I82" s="118"/>
      <c r="J82" s="118"/>
      <c r="K82" s="118"/>
      <c r="L82" s="118"/>
      <c r="M82" s="118"/>
      <c r="N82" s="118"/>
      <c r="O82" s="118"/>
      <c r="P82" s="118"/>
      <c r="Q82" s="118"/>
      <c r="R82" s="118"/>
      <c r="S82" s="6"/>
    </row>
    <row r="83" spans="1:26" x14ac:dyDescent="0.25">
      <c r="A83" s="127"/>
      <c r="B83" s="118"/>
      <c r="C83" s="118"/>
      <c r="D83" s="118"/>
      <c r="E83" s="118"/>
      <c r="F83" s="118"/>
      <c r="G83" s="118"/>
      <c r="H83" s="118"/>
      <c r="I83" s="118"/>
      <c r="J83" s="118"/>
      <c r="K83" s="118"/>
      <c r="L83" s="118"/>
      <c r="M83" s="118"/>
      <c r="N83" s="118"/>
      <c r="O83" s="118"/>
      <c r="P83" s="118"/>
      <c r="Q83" s="118"/>
      <c r="R83" s="118"/>
      <c r="S83" s="6"/>
    </row>
    <row r="84" spans="1:26" x14ac:dyDescent="0.25">
      <c r="A84" s="127"/>
      <c r="B84" s="118"/>
      <c r="C84" s="118"/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118"/>
      <c r="Q84" s="118"/>
      <c r="R84" s="118"/>
      <c r="S84" s="6"/>
    </row>
    <row r="85" spans="1:26" x14ac:dyDescent="0.25">
      <c r="A85" s="127"/>
      <c r="B85" s="118"/>
      <c r="C85" s="118"/>
      <c r="D85" s="118"/>
      <c r="E85" s="118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118"/>
      <c r="Q85" s="118"/>
      <c r="R85" s="118"/>
      <c r="S85" s="6"/>
    </row>
    <row r="86" spans="1:26" x14ac:dyDescent="0.25">
      <c r="A86" s="127"/>
      <c r="B86" s="118"/>
      <c r="C86" s="118"/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8"/>
      <c r="Q86" s="118"/>
      <c r="R86" s="118"/>
      <c r="S86" s="6"/>
      <c r="Z86" s="30"/>
    </row>
    <row r="87" spans="1:26" x14ac:dyDescent="0.25">
      <c r="A87" s="127"/>
      <c r="B87" s="118"/>
      <c r="C87" s="118"/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118"/>
      <c r="Q87" s="118"/>
      <c r="R87" s="118"/>
      <c r="S87" s="6"/>
    </row>
    <row r="88" spans="1:26" x14ac:dyDescent="0.25">
      <c r="A88" s="127"/>
      <c r="B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6"/>
    </row>
    <row r="89" spans="1:26" x14ac:dyDescent="0.25">
      <c r="A89" s="127"/>
      <c r="B89" s="11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18"/>
      <c r="O89" s="118"/>
      <c r="P89" s="118"/>
      <c r="Q89" s="118"/>
      <c r="R89" s="118"/>
      <c r="S89" s="6"/>
    </row>
    <row r="90" spans="1:26" x14ac:dyDescent="0.25">
      <c r="A90" s="127"/>
      <c r="B90" s="118"/>
      <c r="C90" s="118"/>
      <c r="D90" s="118"/>
      <c r="E90" s="118"/>
      <c r="F90" s="118"/>
      <c r="G90" s="118"/>
      <c r="H90" s="118"/>
      <c r="I90" s="118"/>
      <c r="J90" s="118"/>
      <c r="K90" s="118"/>
      <c r="L90" s="118"/>
      <c r="M90" s="118"/>
      <c r="N90" s="118"/>
      <c r="O90" s="118"/>
      <c r="P90" s="118"/>
      <c r="Q90" s="118"/>
      <c r="R90" s="118"/>
      <c r="S90" s="76"/>
    </row>
    <row r="91" spans="1:26" x14ac:dyDescent="0.25">
      <c r="A91" s="127"/>
      <c r="B91" s="118"/>
      <c r="C91" s="118"/>
      <c r="D91" s="118"/>
      <c r="E91" s="118"/>
      <c r="F91" s="118"/>
      <c r="G91" s="118"/>
      <c r="H91" s="118"/>
      <c r="I91" s="118"/>
      <c r="J91" s="118"/>
      <c r="K91" s="118"/>
      <c r="L91" s="118"/>
      <c r="M91" s="118"/>
      <c r="N91" s="118"/>
      <c r="O91" s="118"/>
      <c r="P91" s="118"/>
      <c r="Q91" s="118"/>
      <c r="R91" s="118"/>
      <c r="S91" s="77"/>
    </row>
    <row r="92" spans="1:26" ht="15" customHeight="1" x14ac:dyDescent="0.25">
      <c r="A92" s="127"/>
      <c r="B92" s="118"/>
      <c r="C92" s="118"/>
      <c r="D92" s="118"/>
      <c r="E92" s="118"/>
      <c r="F92" s="118"/>
      <c r="G92" s="118"/>
      <c r="H92" s="118"/>
      <c r="I92" s="118"/>
      <c r="J92" s="118"/>
      <c r="K92" s="118"/>
      <c r="L92" s="118"/>
      <c r="M92" s="118"/>
      <c r="N92" s="118"/>
      <c r="O92" s="118"/>
      <c r="P92" s="118"/>
      <c r="Q92" s="118"/>
      <c r="R92" s="118"/>
      <c r="S92" s="77"/>
    </row>
    <row r="93" spans="1:26" ht="15" customHeight="1" x14ac:dyDescent="0.25">
      <c r="A93" s="14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77"/>
    </row>
    <row r="94" spans="1:26" ht="15" customHeight="1" x14ac:dyDescent="0.25">
      <c r="A94" s="14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77"/>
    </row>
    <row r="95" spans="1:26" ht="15" customHeight="1" x14ac:dyDescent="0.25">
      <c r="A95" s="80"/>
      <c r="B95" s="54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77"/>
    </row>
    <row r="96" spans="1:26" ht="15" customHeight="1" x14ac:dyDescent="0.25">
      <c r="A96" s="80"/>
      <c r="B96" s="54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77"/>
    </row>
    <row r="97" spans="1:19" ht="15" customHeight="1" x14ac:dyDescent="0.25">
      <c r="A97" s="80"/>
      <c r="B97" s="125"/>
      <c r="C97" s="125"/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77"/>
    </row>
    <row r="98" spans="1:19" ht="15" customHeight="1" x14ac:dyDescent="0.25">
      <c r="A98" s="82"/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77"/>
    </row>
    <row r="99" spans="1:19" ht="15" customHeight="1" x14ac:dyDescent="0.25">
      <c r="A99" s="128"/>
      <c r="B99" s="125"/>
      <c r="C99" s="125"/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6"/>
    </row>
    <row r="100" spans="1:19" ht="15" customHeight="1" x14ac:dyDescent="0.25">
      <c r="A100" s="128"/>
      <c r="B100" s="125"/>
      <c r="C100" s="125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6"/>
    </row>
    <row r="101" spans="1:19" ht="15" customHeight="1" x14ac:dyDescent="0.25">
      <c r="A101" s="128"/>
      <c r="B101" s="125"/>
      <c r="C101" s="125"/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6"/>
    </row>
    <row r="102" spans="1:19" ht="15" customHeight="1" x14ac:dyDescent="0.25">
      <c r="A102" s="128"/>
      <c r="B102" s="125"/>
      <c r="C102" s="125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6"/>
    </row>
    <row r="103" spans="1:19" ht="15" customHeight="1" x14ac:dyDescent="0.25">
      <c r="A103" s="128"/>
      <c r="B103" s="125"/>
      <c r="C103" s="125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6"/>
    </row>
    <row r="104" spans="1:19" ht="15" customHeight="1" x14ac:dyDescent="0.25">
      <c r="A104" s="128"/>
      <c r="B104" s="125"/>
      <c r="C104" s="125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6"/>
    </row>
    <row r="105" spans="1:19" ht="15" customHeight="1" x14ac:dyDescent="0.25">
      <c r="A105" s="128"/>
      <c r="B105" s="125"/>
      <c r="C105" s="125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6"/>
    </row>
    <row r="106" spans="1:19" ht="15" customHeight="1" x14ac:dyDescent="0.25">
      <c r="A106" s="128"/>
      <c r="B106" s="125"/>
      <c r="C106" s="125"/>
      <c r="D106" s="125"/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6"/>
    </row>
    <row r="107" spans="1:19" ht="15" customHeight="1" x14ac:dyDescent="0.25">
      <c r="A107" s="128"/>
      <c r="B107" s="125"/>
      <c r="C107" s="125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6"/>
    </row>
    <row r="108" spans="1:19" ht="15" customHeight="1" x14ac:dyDescent="0.25">
      <c r="A108" s="128"/>
      <c r="B108" s="125"/>
      <c r="C108" s="125"/>
      <c r="D108" s="125"/>
      <c r="E108" s="125"/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6"/>
    </row>
    <row r="109" spans="1:19" ht="15" customHeight="1" x14ac:dyDescent="0.25">
      <c r="A109" s="128"/>
      <c r="B109" s="125"/>
      <c r="C109" s="125"/>
      <c r="D109" s="125"/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6"/>
    </row>
    <row r="110" spans="1:19" ht="15" customHeight="1" x14ac:dyDescent="0.25">
      <c r="A110" s="128"/>
      <c r="B110" s="125"/>
      <c r="C110" s="125"/>
      <c r="D110" s="125"/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6"/>
    </row>
    <row r="111" spans="1:19" ht="15" customHeight="1" x14ac:dyDescent="0.25">
      <c r="A111" s="128"/>
      <c r="B111" s="125"/>
      <c r="C111" s="125"/>
      <c r="D111" s="125"/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6"/>
    </row>
    <row r="112" spans="1:19" ht="15" customHeight="1" x14ac:dyDescent="0.25">
      <c r="A112" s="128"/>
      <c r="B112" s="125"/>
      <c r="C112" s="125"/>
      <c r="D112" s="125"/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6"/>
    </row>
    <row r="113" spans="1:19" ht="15" customHeight="1" x14ac:dyDescent="0.25">
      <c r="A113" s="128"/>
      <c r="B113" s="125"/>
      <c r="C113" s="125"/>
      <c r="D113" s="125"/>
      <c r="E113" s="125"/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6"/>
    </row>
    <row r="114" spans="1:19" ht="15" customHeight="1" x14ac:dyDescent="0.25">
      <c r="A114" s="128"/>
      <c r="B114" s="125"/>
      <c r="C114" s="125"/>
      <c r="D114" s="125"/>
      <c r="E114" s="125"/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6"/>
    </row>
    <row r="115" spans="1:19" ht="15" customHeight="1" x14ac:dyDescent="0.25">
      <c r="A115" s="128"/>
      <c r="B115" s="125"/>
      <c r="C115" s="125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6"/>
    </row>
    <row r="116" spans="1:19" ht="15" customHeight="1" x14ac:dyDescent="0.25">
      <c r="A116" s="128"/>
      <c r="B116" s="125"/>
      <c r="C116" s="125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6"/>
    </row>
    <row r="117" spans="1:19" ht="15" customHeight="1" x14ac:dyDescent="0.25">
      <c r="A117" s="128"/>
      <c r="B117" s="125"/>
      <c r="C117" s="125"/>
      <c r="D117" s="125"/>
      <c r="E117" s="125"/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6"/>
    </row>
    <row r="118" spans="1:19" ht="15" customHeight="1" x14ac:dyDescent="0.25">
      <c r="A118" s="128"/>
      <c r="B118" s="125"/>
      <c r="C118" s="125"/>
      <c r="D118" s="125"/>
      <c r="E118" s="125"/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6"/>
    </row>
    <row r="119" spans="1:19" ht="15" customHeight="1" x14ac:dyDescent="0.25">
      <c r="A119" s="128"/>
      <c r="B119" s="125"/>
      <c r="C119" s="125"/>
      <c r="D119" s="125"/>
      <c r="E119" s="125"/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6"/>
    </row>
    <row r="120" spans="1:19" ht="15" customHeight="1" x14ac:dyDescent="0.25">
      <c r="A120" s="128"/>
      <c r="B120" s="125"/>
      <c r="C120" s="125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6"/>
    </row>
    <row r="121" spans="1:19" ht="15" customHeight="1" x14ac:dyDescent="0.25">
      <c r="A121" s="128"/>
      <c r="B121" s="125"/>
      <c r="C121" s="125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6"/>
    </row>
    <row r="122" spans="1:19" ht="15" customHeight="1" x14ac:dyDescent="0.25">
      <c r="A122" s="128"/>
      <c r="B122" s="125"/>
      <c r="C122" s="125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6"/>
    </row>
    <row r="123" spans="1:19" ht="15" customHeight="1" x14ac:dyDescent="0.25">
      <c r="A123" s="128"/>
      <c r="B123" s="125"/>
      <c r="C123" s="125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6"/>
    </row>
    <row r="124" spans="1:19" ht="15" customHeight="1" x14ac:dyDescent="0.25">
      <c r="A124" s="128"/>
      <c r="B124" s="125"/>
      <c r="C124" s="125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6"/>
    </row>
    <row r="125" spans="1:19" ht="15" customHeight="1" x14ac:dyDescent="0.25">
      <c r="A125" s="128"/>
      <c r="B125" s="125"/>
      <c r="C125" s="125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6"/>
    </row>
    <row r="126" spans="1:19" ht="15" customHeight="1" x14ac:dyDescent="0.25">
      <c r="A126" s="128"/>
      <c r="B126" s="125"/>
      <c r="C126" s="125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6"/>
    </row>
    <row r="127" spans="1:19" ht="15" customHeight="1" x14ac:dyDescent="0.25">
      <c r="A127" s="128"/>
      <c r="B127" s="125"/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6"/>
    </row>
    <row r="128" spans="1:19" ht="15" customHeight="1" x14ac:dyDescent="0.25">
      <c r="A128" s="128"/>
      <c r="B128" s="125"/>
      <c r="C128" s="125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6"/>
    </row>
    <row r="129" spans="1:27" ht="15" customHeight="1" x14ac:dyDescent="0.25">
      <c r="A129" s="128"/>
      <c r="B129" s="125"/>
      <c r="C129" s="125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6"/>
    </row>
    <row r="130" spans="1:27" ht="15" customHeight="1" x14ac:dyDescent="0.25">
      <c r="A130" s="128"/>
      <c r="B130" s="125"/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6"/>
    </row>
    <row r="131" spans="1:27" ht="15" customHeight="1" x14ac:dyDescent="0.25">
      <c r="A131" s="128"/>
      <c r="B131" s="125"/>
      <c r="C131" s="125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6"/>
    </row>
    <row r="132" spans="1:27" ht="15" customHeight="1" x14ac:dyDescent="0.25">
      <c r="A132" s="5"/>
      <c r="B132" s="125"/>
      <c r="C132" s="125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6"/>
    </row>
    <row r="133" spans="1:27" ht="15" customHeight="1" x14ac:dyDescent="0.25">
      <c r="A133" s="5"/>
      <c r="B133" s="125"/>
      <c r="C133" s="125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6"/>
    </row>
    <row r="134" spans="1:27" ht="15" customHeight="1" x14ac:dyDescent="0.25">
      <c r="A134" s="5"/>
      <c r="B134" s="125"/>
      <c r="C134" s="125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6"/>
    </row>
    <row r="135" spans="1:27" ht="15" customHeight="1" x14ac:dyDescent="0.25">
      <c r="A135" s="5"/>
      <c r="B135" s="125"/>
      <c r="C135" s="125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6"/>
    </row>
    <row r="136" spans="1:27" x14ac:dyDescent="0.25">
      <c r="A136" s="15"/>
      <c r="S136" s="6"/>
    </row>
    <row r="137" spans="1:27" ht="15" customHeight="1" x14ac:dyDescent="0.25">
      <c r="A137" s="14"/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6"/>
    </row>
    <row r="138" spans="1:27" ht="15" customHeight="1" x14ac:dyDescent="0.25">
      <c r="A138" s="14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6"/>
    </row>
    <row r="139" spans="1:27" ht="15" customHeight="1" x14ac:dyDescent="0.25">
      <c r="A139" s="14"/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6"/>
    </row>
    <row r="140" spans="1:27" ht="15" customHeight="1" x14ac:dyDescent="0.25">
      <c r="A140" s="80"/>
      <c r="B140" s="54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76"/>
    </row>
    <row r="141" spans="1:27" ht="15" customHeight="1" x14ac:dyDescent="0.25">
      <c r="A141" s="80"/>
      <c r="B141" s="54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76"/>
    </row>
    <row r="142" spans="1:27" ht="15" customHeight="1" x14ac:dyDescent="0.25">
      <c r="A142" s="83"/>
      <c r="B142" s="59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78"/>
    </row>
    <row r="143" spans="1:27" x14ac:dyDescent="0.25">
      <c r="G143" s="30"/>
      <c r="AA143" s="2"/>
    </row>
    <row r="144" spans="1:27" ht="15" customHeight="1" x14ac:dyDescent="0.25">
      <c r="G144" s="30"/>
      <c r="AA144" s="2"/>
    </row>
    <row r="145" spans="7:27" x14ac:dyDescent="0.25">
      <c r="G145" s="30"/>
      <c r="AA145" s="2"/>
    </row>
    <row r="146" spans="7:27" x14ac:dyDescent="0.25">
      <c r="G146" s="30"/>
      <c r="AA146" s="2"/>
    </row>
    <row r="147" spans="7:27" x14ac:dyDescent="0.25">
      <c r="G147" s="30"/>
      <c r="AA147" s="2"/>
    </row>
    <row r="148" spans="7:27" x14ac:dyDescent="0.25">
      <c r="G148" s="30"/>
      <c r="AA148" s="2"/>
    </row>
    <row r="149" spans="7:27" x14ac:dyDescent="0.25">
      <c r="G149" s="30"/>
      <c r="AA149" s="2"/>
    </row>
    <row r="150" spans="7:27" x14ac:dyDescent="0.25">
      <c r="G150" s="30"/>
      <c r="AA150" s="2"/>
    </row>
    <row r="151" spans="7:27" x14ac:dyDescent="0.25">
      <c r="G151" s="30"/>
      <c r="AA151" s="2"/>
    </row>
    <row r="152" spans="7:27" x14ac:dyDescent="0.25">
      <c r="G152" s="30"/>
      <c r="AA152" s="2"/>
    </row>
    <row r="153" spans="7:27" x14ac:dyDescent="0.25">
      <c r="G153" s="30"/>
      <c r="AA153" s="2"/>
    </row>
    <row r="154" spans="7:27" x14ac:dyDescent="0.25">
      <c r="G154" s="30"/>
      <c r="AA154" s="2"/>
    </row>
    <row r="155" spans="7:27" x14ac:dyDescent="0.25">
      <c r="G155" s="30"/>
      <c r="AA155" s="2"/>
    </row>
    <row r="156" spans="7:27" x14ac:dyDescent="0.25">
      <c r="G156" s="30"/>
      <c r="AA156" s="2"/>
    </row>
    <row r="157" spans="7:27" x14ac:dyDescent="0.25">
      <c r="G157" s="30"/>
      <c r="AA157" s="2"/>
    </row>
    <row r="158" spans="7:27" x14ac:dyDescent="0.25">
      <c r="G158" s="30"/>
      <c r="AA158" s="2"/>
    </row>
    <row r="159" spans="7:27" x14ac:dyDescent="0.25">
      <c r="G159" s="30"/>
      <c r="AA159" s="2"/>
    </row>
    <row r="160" spans="7:27" x14ac:dyDescent="0.25">
      <c r="G160" s="30"/>
      <c r="AA160" s="2"/>
    </row>
    <row r="161" spans="7:27" x14ac:dyDescent="0.25">
      <c r="G161" s="30"/>
      <c r="AA161" s="2"/>
    </row>
    <row r="162" spans="7:27" x14ac:dyDescent="0.25">
      <c r="G162" s="30"/>
      <c r="AA162" s="2"/>
    </row>
    <row r="163" spans="7:27" x14ac:dyDescent="0.25">
      <c r="G163" s="30"/>
      <c r="AA163" s="2"/>
    </row>
    <row r="164" spans="7:27" x14ac:dyDescent="0.25">
      <c r="G164" s="30"/>
      <c r="AA164" s="2"/>
    </row>
    <row r="165" spans="7:27" x14ac:dyDescent="0.25">
      <c r="G165" s="30"/>
      <c r="AA165" s="2"/>
    </row>
    <row r="166" spans="7:27" x14ac:dyDescent="0.25">
      <c r="G166" s="30"/>
      <c r="AA166" s="2"/>
    </row>
    <row r="167" spans="7:27" x14ac:dyDescent="0.25">
      <c r="G167" s="30"/>
      <c r="AA167" s="2"/>
    </row>
    <row r="168" spans="7:27" x14ac:dyDescent="0.25">
      <c r="G168" s="30"/>
      <c r="AA168" s="2"/>
    </row>
    <row r="169" spans="7:27" x14ac:dyDescent="0.25">
      <c r="G169" s="30"/>
      <c r="AA169" s="2"/>
    </row>
    <row r="170" spans="7:27" x14ac:dyDescent="0.25">
      <c r="G170" s="30"/>
      <c r="AA170" s="2"/>
    </row>
    <row r="171" spans="7:27" x14ac:dyDescent="0.25">
      <c r="G171" s="30"/>
      <c r="AA171" s="2"/>
    </row>
    <row r="172" spans="7:27" x14ac:dyDescent="0.25">
      <c r="G172" s="30"/>
      <c r="AA172" s="2"/>
    </row>
    <row r="173" spans="7:27" x14ac:dyDescent="0.25">
      <c r="G173" s="30"/>
      <c r="AA173" s="2"/>
    </row>
    <row r="174" spans="7:27" x14ac:dyDescent="0.25">
      <c r="G174" s="30"/>
      <c r="AA174" s="2"/>
    </row>
    <row r="175" spans="7:27" x14ac:dyDescent="0.25">
      <c r="G175" s="30"/>
      <c r="AA175" s="2"/>
    </row>
    <row r="176" spans="7:27" x14ac:dyDescent="0.25">
      <c r="G176" s="30"/>
      <c r="AA176" s="2"/>
    </row>
    <row r="177" spans="7:27" x14ac:dyDescent="0.25">
      <c r="G177" s="30"/>
      <c r="AA177" s="2"/>
    </row>
    <row r="178" spans="7:27" x14ac:dyDescent="0.25">
      <c r="G178" s="30"/>
      <c r="AA178" s="2"/>
    </row>
    <row r="179" spans="7:27" x14ac:dyDescent="0.25">
      <c r="G179" s="30"/>
      <c r="AA179" s="2"/>
    </row>
    <row r="180" spans="7:27" x14ac:dyDescent="0.25">
      <c r="G180" s="30"/>
      <c r="AA180" s="2"/>
    </row>
    <row r="181" spans="7:27" x14ac:dyDescent="0.25">
      <c r="G181" s="30"/>
      <c r="AA181" s="2"/>
    </row>
    <row r="182" spans="7:27" ht="15" customHeight="1" x14ac:dyDescent="0.25">
      <c r="G182" s="30"/>
      <c r="AA182" s="2"/>
    </row>
    <row r="183" spans="7:27" ht="15" customHeight="1" x14ac:dyDescent="0.25">
      <c r="G183" s="30"/>
      <c r="AA183" s="2"/>
    </row>
    <row r="184" spans="7:27" ht="15" customHeight="1" x14ac:dyDescent="0.25">
      <c r="G184" s="30"/>
      <c r="AA184" s="2"/>
    </row>
    <row r="185" spans="7:27" ht="15" customHeight="1" x14ac:dyDescent="0.25">
      <c r="G185" s="30"/>
      <c r="AA185" s="2"/>
    </row>
    <row r="186" spans="7:27" ht="15" customHeight="1" x14ac:dyDescent="0.25">
      <c r="G186" s="30"/>
      <c r="AA186" s="2"/>
    </row>
    <row r="187" spans="7:27" ht="15" customHeight="1" x14ac:dyDescent="0.25">
      <c r="G187" s="30"/>
      <c r="AA187" s="2"/>
    </row>
    <row r="188" spans="7:27" x14ac:dyDescent="0.25">
      <c r="G188" s="30"/>
      <c r="AA188" s="2"/>
    </row>
    <row r="189" spans="7:27" ht="15" customHeight="1" x14ac:dyDescent="0.25">
      <c r="G189" s="30"/>
      <c r="AA189" s="2"/>
    </row>
    <row r="190" spans="7:27" x14ac:dyDescent="0.25">
      <c r="G190" s="30"/>
      <c r="AA190" s="2"/>
    </row>
    <row r="191" spans="7:27" x14ac:dyDescent="0.25">
      <c r="G191" s="30"/>
      <c r="AA191" s="2"/>
    </row>
    <row r="192" spans="7:27" x14ac:dyDescent="0.25">
      <c r="G192" s="30"/>
      <c r="AA192" s="2"/>
    </row>
    <row r="193" spans="7:27" x14ac:dyDescent="0.25">
      <c r="G193" s="30"/>
      <c r="AA193" s="2"/>
    </row>
    <row r="194" spans="7:27" x14ac:dyDescent="0.25">
      <c r="G194" s="30"/>
      <c r="AA194" s="2"/>
    </row>
    <row r="195" spans="7:27" x14ac:dyDescent="0.25">
      <c r="G195" s="30"/>
      <c r="AA195" s="2"/>
    </row>
    <row r="196" spans="7:27" x14ac:dyDescent="0.25">
      <c r="G196" s="30"/>
      <c r="AA196" s="2"/>
    </row>
    <row r="197" spans="7:27" x14ac:dyDescent="0.25">
      <c r="G197" s="30"/>
      <c r="AA197" s="2"/>
    </row>
    <row r="198" spans="7:27" x14ac:dyDescent="0.25">
      <c r="G198" s="30"/>
      <c r="AA198" s="2"/>
    </row>
    <row r="199" spans="7:27" x14ac:dyDescent="0.25">
      <c r="G199" s="30"/>
      <c r="AA199" s="2"/>
    </row>
    <row r="200" spans="7:27" x14ac:dyDescent="0.25">
      <c r="G200" s="30"/>
      <c r="AA200" s="2"/>
    </row>
    <row r="201" spans="7:27" x14ac:dyDescent="0.25">
      <c r="G201" s="30"/>
      <c r="AA201" s="2"/>
    </row>
    <row r="202" spans="7:27" x14ac:dyDescent="0.25">
      <c r="G202" s="30"/>
      <c r="AA202" s="2"/>
    </row>
    <row r="203" spans="7:27" x14ac:dyDescent="0.25">
      <c r="G203" s="30"/>
      <c r="AA203" s="2"/>
    </row>
    <row r="204" spans="7:27" x14ac:dyDescent="0.25">
      <c r="G204" s="30"/>
      <c r="AA204" s="2"/>
    </row>
    <row r="205" spans="7:27" x14ac:dyDescent="0.25">
      <c r="G205" s="30"/>
      <c r="AA205" s="2"/>
    </row>
    <row r="206" spans="7:27" x14ac:dyDescent="0.25">
      <c r="G206" s="30"/>
      <c r="AA206" s="2"/>
    </row>
    <row r="207" spans="7:27" x14ac:dyDescent="0.25">
      <c r="G207" s="30"/>
      <c r="AA207" s="2"/>
    </row>
    <row r="208" spans="7:27" x14ac:dyDescent="0.25">
      <c r="G208" s="30"/>
      <c r="AA208" s="2"/>
    </row>
    <row r="209" spans="7:27" x14ac:dyDescent="0.25">
      <c r="G209" s="30"/>
      <c r="AA209" s="2"/>
    </row>
    <row r="210" spans="7:27" x14ac:dyDescent="0.25">
      <c r="G210" s="30"/>
      <c r="AA210" s="2"/>
    </row>
    <row r="211" spans="7:27" x14ac:dyDescent="0.25">
      <c r="G211" s="30"/>
      <c r="AA211" s="2"/>
    </row>
    <row r="212" spans="7:27" x14ac:dyDescent="0.25">
      <c r="G212" s="30"/>
      <c r="AA212" s="2"/>
    </row>
    <row r="213" spans="7:27" x14ac:dyDescent="0.25">
      <c r="G213" s="30"/>
      <c r="AA213" s="2"/>
    </row>
    <row r="214" spans="7:27" x14ac:dyDescent="0.25">
      <c r="G214" s="30"/>
      <c r="AA214" s="2"/>
    </row>
    <row r="215" spans="7:27" x14ac:dyDescent="0.25">
      <c r="G215" s="30"/>
      <c r="AA215" s="2"/>
    </row>
    <row r="216" spans="7:27" x14ac:dyDescent="0.25">
      <c r="G216" s="30"/>
      <c r="AA216" s="2"/>
    </row>
    <row r="217" spans="7:27" x14ac:dyDescent="0.25">
      <c r="G217" s="30"/>
      <c r="AA217" s="2"/>
    </row>
    <row r="218" spans="7:27" x14ac:dyDescent="0.25">
      <c r="G218" s="30"/>
      <c r="AA218" s="2"/>
    </row>
    <row r="219" spans="7:27" x14ac:dyDescent="0.25">
      <c r="G219" s="30"/>
      <c r="AA219" s="2"/>
    </row>
    <row r="220" spans="7:27" x14ac:dyDescent="0.25">
      <c r="G220" s="30"/>
      <c r="AA220" s="2"/>
    </row>
    <row r="221" spans="7:27" x14ac:dyDescent="0.25">
      <c r="G221" s="30"/>
      <c r="AA221" s="2"/>
    </row>
    <row r="222" spans="7:27" x14ac:dyDescent="0.25">
      <c r="G222" s="30"/>
      <c r="AA222" s="2"/>
    </row>
    <row r="223" spans="7:27" x14ac:dyDescent="0.25">
      <c r="G223" s="30"/>
      <c r="AA223" s="2"/>
    </row>
    <row r="224" spans="7:27" x14ac:dyDescent="0.25">
      <c r="G224" s="30"/>
      <c r="AA224" s="2"/>
    </row>
    <row r="225" spans="7:27" x14ac:dyDescent="0.25">
      <c r="G225" s="30"/>
      <c r="AA225" s="2"/>
    </row>
    <row r="226" spans="7:27" x14ac:dyDescent="0.25">
      <c r="G226" s="30"/>
      <c r="AA226" s="2"/>
    </row>
    <row r="227" spans="7:27" ht="15" customHeight="1" x14ac:dyDescent="0.25">
      <c r="G227" s="30"/>
      <c r="AA227" s="2"/>
    </row>
    <row r="228" spans="7:27" ht="15" customHeight="1" x14ac:dyDescent="0.25">
      <c r="G228" s="30"/>
      <c r="AA228" s="2"/>
    </row>
    <row r="229" spans="7:27" ht="15" customHeight="1" x14ac:dyDescent="0.25">
      <c r="G229" s="30"/>
      <c r="AA229" s="2"/>
    </row>
    <row r="230" spans="7:27" ht="15" customHeight="1" x14ac:dyDescent="0.25">
      <c r="G230" s="30"/>
      <c r="AA230" s="2"/>
    </row>
    <row r="231" spans="7:27" ht="15" customHeight="1" x14ac:dyDescent="0.25">
      <c r="G231" s="30"/>
      <c r="AA231" s="2"/>
    </row>
    <row r="232" spans="7:27" ht="15" customHeight="1" x14ac:dyDescent="0.25">
      <c r="G232" s="30"/>
      <c r="AA232" s="2"/>
    </row>
    <row r="233" spans="7:27" x14ac:dyDescent="0.25">
      <c r="G233" s="30"/>
      <c r="AA233" s="2"/>
    </row>
    <row r="234" spans="7:27" ht="15" customHeight="1" x14ac:dyDescent="0.25">
      <c r="G234" s="30"/>
      <c r="AA234" s="2"/>
    </row>
    <row r="235" spans="7:27" x14ac:dyDescent="0.25">
      <c r="G235" s="30"/>
      <c r="AA235" s="2"/>
    </row>
    <row r="236" spans="7:27" x14ac:dyDescent="0.25">
      <c r="G236" s="30"/>
      <c r="AA236" s="2"/>
    </row>
    <row r="237" spans="7:27" x14ac:dyDescent="0.25">
      <c r="G237" s="30"/>
      <c r="AA237" s="2"/>
    </row>
    <row r="238" spans="7:27" x14ac:dyDescent="0.25">
      <c r="G238" s="30"/>
      <c r="AA238" s="2"/>
    </row>
    <row r="239" spans="7:27" x14ac:dyDescent="0.25">
      <c r="G239" s="30"/>
      <c r="AA239" s="2"/>
    </row>
    <row r="240" spans="7:27" x14ac:dyDescent="0.25">
      <c r="G240" s="30"/>
      <c r="AA240" s="2"/>
    </row>
    <row r="241" spans="7:27" x14ac:dyDescent="0.25">
      <c r="G241" s="30"/>
      <c r="AA241" s="2"/>
    </row>
    <row r="242" spans="7:27" x14ac:dyDescent="0.25">
      <c r="G242" s="30"/>
      <c r="AA242" s="2"/>
    </row>
    <row r="243" spans="7:27" x14ac:dyDescent="0.25">
      <c r="G243" s="30"/>
      <c r="AA243" s="2"/>
    </row>
    <row r="244" spans="7:27" x14ac:dyDescent="0.25">
      <c r="G244" s="30"/>
      <c r="AA244" s="2"/>
    </row>
    <row r="245" spans="7:27" x14ac:dyDescent="0.25">
      <c r="G245" s="30"/>
      <c r="AA245" s="2"/>
    </row>
    <row r="246" spans="7:27" x14ac:dyDescent="0.25">
      <c r="G246" s="30"/>
      <c r="AA246" s="2"/>
    </row>
    <row r="247" spans="7:27" x14ac:dyDescent="0.25">
      <c r="G247" s="30"/>
      <c r="AA247" s="2"/>
    </row>
    <row r="248" spans="7:27" x14ac:dyDescent="0.25">
      <c r="G248" s="30"/>
      <c r="AA248" s="2"/>
    </row>
    <row r="249" spans="7:27" x14ac:dyDescent="0.25">
      <c r="G249" s="30"/>
      <c r="AA249" s="2"/>
    </row>
    <row r="250" spans="7:27" x14ac:dyDescent="0.25">
      <c r="G250" s="30"/>
      <c r="AA250" s="2"/>
    </row>
    <row r="251" spans="7:27" x14ac:dyDescent="0.25">
      <c r="G251" s="30"/>
      <c r="AA251" s="2"/>
    </row>
    <row r="252" spans="7:27" x14ac:dyDescent="0.25">
      <c r="G252" s="30"/>
      <c r="AA252" s="2"/>
    </row>
    <row r="253" spans="7:27" x14ac:dyDescent="0.25">
      <c r="G253" s="30"/>
      <c r="AA253" s="2"/>
    </row>
    <row r="254" spans="7:27" x14ac:dyDescent="0.25">
      <c r="G254" s="30"/>
      <c r="AA254" s="2"/>
    </row>
    <row r="255" spans="7:27" x14ac:dyDescent="0.25">
      <c r="G255" s="30"/>
      <c r="AA255" s="2"/>
    </row>
    <row r="256" spans="7:27" x14ac:dyDescent="0.25">
      <c r="G256" s="30"/>
      <c r="AA256" s="2"/>
    </row>
    <row r="257" spans="7:27" x14ac:dyDescent="0.25">
      <c r="G257" s="30"/>
      <c r="AA257" s="2"/>
    </row>
    <row r="258" spans="7:27" x14ac:dyDescent="0.25">
      <c r="G258" s="30"/>
      <c r="AA258" s="2"/>
    </row>
    <row r="259" spans="7:27" x14ac:dyDescent="0.25">
      <c r="G259" s="30"/>
      <c r="AA259" s="2"/>
    </row>
    <row r="260" spans="7:27" x14ac:dyDescent="0.25">
      <c r="G260" s="30"/>
      <c r="AA260" s="2"/>
    </row>
    <row r="261" spans="7:27" x14ac:dyDescent="0.25">
      <c r="G261" s="30"/>
      <c r="AA261" s="2"/>
    </row>
    <row r="262" spans="7:27" x14ac:dyDescent="0.25">
      <c r="G262" s="30"/>
      <c r="AA262" s="2"/>
    </row>
    <row r="263" spans="7:27" x14ac:dyDescent="0.25">
      <c r="G263" s="30"/>
      <c r="AA263" s="2"/>
    </row>
    <row r="264" spans="7:27" x14ac:dyDescent="0.25">
      <c r="G264" s="30"/>
      <c r="AA264" s="2"/>
    </row>
    <row r="265" spans="7:27" x14ac:dyDescent="0.25">
      <c r="G265" s="30"/>
      <c r="AA265" s="2"/>
    </row>
    <row r="266" spans="7:27" x14ac:dyDescent="0.25">
      <c r="G266" s="30"/>
      <c r="AA266" s="2"/>
    </row>
    <row r="267" spans="7:27" x14ac:dyDescent="0.25">
      <c r="G267" s="30"/>
      <c r="AA267" s="2"/>
    </row>
    <row r="268" spans="7:27" x14ac:dyDescent="0.25">
      <c r="G268" s="30"/>
      <c r="AA268" s="2"/>
    </row>
    <row r="269" spans="7:27" x14ac:dyDescent="0.25">
      <c r="G269" s="30"/>
      <c r="AA269" s="2"/>
    </row>
    <row r="270" spans="7:27" x14ac:dyDescent="0.25">
      <c r="G270" s="30"/>
      <c r="AA270" s="2"/>
    </row>
    <row r="271" spans="7:27" x14ac:dyDescent="0.25">
      <c r="G271" s="30"/>
      <c r="AA271" s="2"/>
    </row>
    <row r="272" spans="7:27" x14ac:dyDescent="0.25">
      <c r="G272" s="30"/>
      <c r="AA272" s="2"/>
    </row>
    <row r="273" spans="7:27" x14ac:dyDescent="0.25">
      <c r="G273" s="30"/>
      <c r="AA273" s="2"/>
    </row>
  </sheetData>
  <mergeCells count="12">
    <mergeCell ref="B11:R49"/>
    <mergeCell ref="A54:A92"/>
    <mergeCell ref="B54:R92"/>
    <mergeCell ref="B97:R135"/>
    <mergeCell ref="A99:A131"/>
    <mergeCell ref="E1:O3"/>
    <mergeCell ref="E4:E5"/>
    <mergeCell ref="F4:O5"/>
    <mergeCell ref="E6:E7"/>
    <mergeCell ref="F6:O7"/>
    <mergeCell ref="E8:E9"/>
    <mergeCell ref="F8:O9"/>
  </mergeCells>
  <pageMargins left="0.19685039370078741" right="0.19685039370078741" top="0.19685039370078741" bottom="0.19685039370078741" header="0" footer="0.35433070866141736"/>
  <pageSetup paperSize="9" scale="39" fitToHeight="3" orientation="portrait" horizontalDpi="1200" verticalDpi="1200" r:id="rId1"/>
  <headerFooter alignWithMargins="0">
    <oddFooter xml:space="preserve">&amp;C&amp;18Tooshop | M. Santos | &amp;D&amp;R&amp;18Página &amp;P de &amp;N         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273"/>
  <sheetViews>
    <sheetView view="pageBreakPreview" zoomScale="37" zoomScaleNormal="70" zoomScaleSheetLayoutView="37" workbookViewId="0">
      <selection activeCell="T57" sqref="T57"/>
    </sheetView>
  </sheetViews>
  <sheetFormatPr defaultRowHeight="15" x14ac:dyDescent="0.25"/>
  <cols>
    <col min="1" max="1" width="4.7109375" style="2" customWidth="1"/>
    <col min="2" max="2" width="9.140625" style="2"/>
    <col min="3" max="4" width="15.7109375" style="2" customWidth="1"/>
    <col min="5" max="5" width="30.7109375" style="2" customWidth="1"/>
    <col min="6" max="6" width="18.7109375" style="2" customWidth="1"/>
    <col min="7" max="13" width="9.140625" style="2"/>
    <col min="14" max="14" width="25.7109375" style="2" customWidth="1"/>
    <col min="15" max="15" width="30.7109375" style="2" customWidth="1"/>
    <col min="16" max="17" width="15.7109375" style="2" customWidth="1"/>
    <col min="18" max="18" width="9.140625" style="2" customWidth="1"/>
    <col min="19" max="19" width="4.5703125" style="2" customWidth="1"/>
    <col min="20" max="20" width="50.140625" style="2" customWidth="1"/>
    <col min="21" max="21" width="6.85546875" style="2" customWidth="1"/>
    <col min="22" max="22" width="6.5703125" style="2" customWidth="1"/>
    <col min="23" max="23" width="6.7109375" style="2" customWidth="1"/>
    <col min="24" max="24" width="7.28515625" style="2" customWidth="1"/>
    <col min="25" max="25" width="9.140625" style="2"/>
    <col min="26" max="26" width="39" style="2" bestFit="1" customWidth="1"/>
    <col min="27" max="27" width="13.5703125" style="30" bestFit="1" customWidth="1"/>
    <col min="28" max="28" width="10.42578125" style="2" bestFit="1" customWidth="1"/>
    <col min="29" max="29" width="19.42578125" style="2" bestFit="1" customWidth="1"/>
    <col min="30" max="30" width="5.42578125" style="2" bestFit="1" customWidth="1"/>
    <col min="31" max="16384" width="9.140625" style="2"/>
  </cols>
  <sheetData>
    <row r="1" spans="1:30" ht="15" customHeight="1" x14ac:dyDescent="0.25">
      <c r="A1" s="13"/>
      <c r="B1" s="3"/>
      <c r="C1" s="3"/>
      <c r="D1" s="3"/>
      <c r="E1" s="116" t="s">
        <v>3</v>
      </c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3"/>
      <c r="Q1" s="3"/>
      <c r="R1" s="3"/>
      <c r="S1" s="4"/>
      <c r="T1" s="10"/>
      <c r="Z1" s="49" t="s">
        <v>4</v>
      </c>
      <c r="AA1" s="88"/>
      <c r="AB1" s="102"/>
      <c r="AC1" s="103"/>
      <c r="AD1" s="104"/>
    </row>
    <row r="2" spans="1:30" ht="15" customHeight="1" x14ac:dyDescent="0.25">
      <c r="A2" s="14"/>
      <c r="B2" s="56"/>
      <c r="C2" s="56"/>
      <c r="D2" s="56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58"/>
      <c r="Q2" s="56"/>
      <c r="R2" s="56"/>
      <c r="S2" s="6"/>
      <c r="Z2" s="50" t="s">
        <v>477</v>
      </c>
      <c r="AA2" s="89">
        <v>15</v>
      </c>
      <c r="AB2" s="95"/>
      <c r="AC2" s="95"/>
      <c r="AD2" s="105"/>
    </row>
    <row r="3" spans="1:30" ht="15" customHeight="1" x14ac:dyDescent="0.25">
      <c r="A3" s="14"/>
      <c r="B3" s="56"/>
      <c r="C3" s="56"/>
      <c r="D3" s="56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58"/>
      <c r="Q3" s="56"/>
      <c r="R3" s="56"/>
      <c r="S3" s="6"/>
      <c r="Z3" s="50" t="s">
        <v>476</v>
      </c>
      <c r="AA3" s="89">
        <v>15</v>
      </c>
      <c r="AB3" s="95"/>
      <c r="AC3" s="95"/>
      <c r="AD3" s="105"/>
    </row>
    <row r="4" spans="1:30" ht="15" customHeight="1" x14ac:dyDescent="0.25">
      <c r="A4" s="14"/>
      <c r="B4" s="56"/>
      <c r="C4" s="56"/>
      <c r="D4" s="56"/>
      <c r="E4" s="129" t="str">
        <f>"Projeto: "</f>
        <v xml:space="preserve">Projeto: </v>
      </c>
      <c r="F4" s="131" t="str">
        <f>T7</f>
        <v>AU270 - Audi A1</v>
      </c>
      <c r="G4" s="131"/>
      <c r="H4" s="131"/>
      <c r="I4" s="131"/>
      <c r="J4" s="131"/>
      <c r="K4" s="131"/>
      <c r="L4" s="131"/>
      <c r="M4" s="131"/>
      <c r="N4" s="131"/>
      <c r="O4" s="132"/>
      <c r="P4" s="58"/>
      <c r="Q4" s="56"/>
      <c r="R4" s="56"/>
      <c r="S4" s="6"/>
      <c r="Z4" s="50" t="s">
        <v>218</v>
      </c>
      <c r="AA4" s="89">
        <v>8</v>
      </c>
      <c r="AB4" s="95"/>
      <c r="AC4" s="95"/>
      <c r="AD4" s="105"/>
    </row>
    <row r="5" spans="1:30" ht="15" customHeight="1" x14ac:dyDescent="0.25">
      <c r="A5" s="80"/>
      <c r="B5" s="54"/>
      <c r="C5" s="55"/>
      <c r="D5" s="55"/>
      <c r="E5" s="130"/>
      <c r="F5" s="133"/>
      <c r="G5" s="133"/>
      <c r="H5" s="133"/>
      <c r="I5" s="133"/>
      <c r="J5" s="133"/>
      <c r="K5" s="133"/>
      <c r="L5" s="133"/>
      <c r="M5" s="133"/>
      <c r="N5" s="133"/>
      <c r="O5" s="134"/>
      <c r="P5" s="58"/>
      <c r="Q5" s="55"/>
      <c r="R5" s="55"/>
      <c r="S5" s="6"/>
      <c r="Z5" s="50" t="s">
        <v>475</v>
      </c>
      <c r="AA5" s="89">
        <v>8</v>
      </c>
      <c r="AB5" s="95"/>
      <c r="AC5" s="95"/>
      <c r="AD5" s="105"/>
    </row>
    <row r="6" spans="1:30" ht="15" customHeight="1" x14ac:dyDescent="0.25">
      <c r="A6" s="80"/>
      <c r="B6" s="54"/>
      <c r="C6" s="55"/>
      <c r="D6" s="55"/>
      <c r="E6" s="135" t="str">
        <f>"Peça: "</f>
        <v xml:space="preserve">Peça: </v>
      </c>
      <c r="F6" s="136" t="str">
        <f>T8</f>
        <v>82A.823.105_155 / 82A.823.155</v>
      </c>
      <c r="G6" s="136"/>
      <c r="H6" s="136"/>
      <c r="I6" s="136"/>
      <c r="J6" s="136"/>
      <c r="K6" s="136"/>
      <c r="L6" s="136"/>
      <c r="M6" s="136"/>
      <c r="N6" s="136"/>
      <c r="O6" s="137"/>
      <c r="P6" s="58"/>
      <c r="Q6" s="55"/>
      <c r="R6" s="55"/>
      <c r="S6" s="6"/>
      <c r="T6" s="17" t="s">
        <v>141</v>
      </c>
      <c r="Z6" s="50" t="s">
        <v>249</v>
      </c>
      <c r="AA6" s="89">
        <v>1</v>
      </c>
      <c r="AB6" s="95"/>
      <c r="AC6" s="95"/>
      <c r="AD6" s="105"/>
    </row>
    <row r="7" spans="1:30" ht="15" customHeight="1" x14ac:dyDescent="0.25">
      <c r="A7" s="80"/>
      <c r="B7" s="54"/>
      <c r="C7" s="55"/>
      <c r="D7" s="55"/>
      <c r="E7" s="130"/>
      <c r="F7" s="133"/>
      <c r="G7" s="133"/>
      <c r="H7" s="133"/>
      <c r="I7" s="133"/>
      <c r="J7" s="133"/>
      <c r="K7" s="133"/>
      <c r="L7" s="133"/>
      <c r="M7" s="133"/>
      <c r="N7" s="133"/>
      <c r="O7" s="134"/>
      <c r="P7" s="55"/>
      <c r="Q7" s="55"/>
      <c r="R7" s="55"/>
      <c r="S7" s="6"/>
      <c r="T7" s="53" t="s">
        <v>86</v>
      </c>
      <c r="Z7" s="50" t="s">
        <v>2</v>
      </c>
      <c r="AA7" s="89">
        <f>SUM(AA2:AA6)</f>
        <v>47</v>
      </c>
      <c r="AB7" s="95">
        <f>SUM(AB2:AB6)</f>
        <v>0</v>
      </c>
      <c r="AC7" s="95"/>
      <c r="AD7" s="105"/>
    </row>
    <row r="8" spans="1:30" ht="15" customHeight="1" x14ac:dyDescent="0.25">
      <c r="A8" s="15"/>
      <c r="E8" s="135" t="str">
        <f>"Ano: "</f>
        <v xml:space="preserve">Ano: </v>
      </c>
      <c r="F8" s="136">
        <f>T9</f>
        <v>2017</v>
      </c>
      <c r="G8" s="136"/>
      <c r="H8" s="136"/>
      <c r="I8" s="136"/>
      <c r="J8" s="136"/>
      <c r="K8" s="136"/>
      <c r="L8" s="136"/>
      <c r="M8" s="136"/>
      <c r="N8" s="136"/>
      <c r="O8" s="137"/>
      <c r="S8" s="6"/>
      <c r="T8" s="2" t="s">
        <v>482</v>
      </c>
      <c r="Z8" s="48" t="s">
        <v>5</v>
      </c>
      <c r="AA8" s="90"/>
      <c r="AB8" s="106"/>
      <c r="AC8" s="106"/>
      <c r="AD8" s="107"/>
    </row>
    <row r="9" spans="1:30" ht="15" customHeight="1" x14ac:dyDescent="0.25">
      <c r="A9" s="81"/>
      <c r="B9" s="57"/>
      <c r="C9" s="57"/>
      <c r="D9" s="57"/>
      <c r="E9" s="130"/>
      <c r="F9" s="133"/>
      <c r="G9" s="133"/>
      <c r="H9" s="133"/>
      <c r="I9" s="133"/>
      <c r="J9" s="133"/>
      <c r="K9" s="133"/>
      <c r="L9" s="133"/>
      <c r="M9" s="133"/>
      <c r="N9" s="133"/>
      <c r="O9" s="134"/>
      <c r="P9" s="57"/>
      <c r="Q9" s="57"/>
      <c r="R9" s="57"/>
      <c r="S9" s="6"/>
      <c r="T9" s="2">
        <v>2017</v>
      </c>
      <c r="Z9" s="44" t="s">
        <v>8</v>
      </c>
      <c r="AA9" s="91">
        <v>7</v>
      </c>
      <c r="AB9" s="108"/>
      <c r="AC9" s="108"/>
      <c r="AD9" s="109"/>
    </row>
    <row r="10" spans="1:30" x14ac:dyDescent="0.25">
      <c r="A10" s="81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6"/>
      <c r="Z10" s="44" t="s">
        <v>7</v>
      </c>
      <c r="AA10" s="91">
        <v>1</v>
      </c>
      <c r="AB10" s="108"/>
      <c r="AC10" s="108"/>
      <c r="AD10" s="109"/>
    </row>
    <row r="11" spans="1:30" ht="15" customHeight="1" x14ac:dyDescent="0.25">
      <c r="A11" s="81"/>
      <c r="B11" s="118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6"/>
      <c r="Z11" s="44" t="s">
        <v>41</v>
      </c>
      <c r="AA11" s="91"/>
      <c r="AB11" s="108"/>
      <c r="AC11" s="108"/>
      <c r="AD11" s="109"/>
    </row>
    <row r="12" spans="1:30" ht="15" customHeight="1" x14ac:dyDescent="0.25">
      <c r="A12" s="81"/>
      <c r="B12" s="118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6"/>
      <c r="Z12" s="44" t="s">
        <v>40</v>
      </c>
      <c r="AA12" s="91"/>
      <c r="AB12" s="108"/>
      <c r="AC12" s="108"/>
      <c r="AD12" s="109"/>
    </row>
    <row r="13" spans="1:30" ht="15" customHeight="1" x14ac:dyDescent="0.25">
      <c r="A13" s="81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6"/>
      <c r="T13" s="12"/>
      <c r="Z13" s="44" t="s">
        <v>1</v>
      </c>
      <c r="AA13" s="91"/>
      <c r="AB13" s="108"/>
      <c r="AC13" s="108"/>
      <c r="AD13" s="109"/>
    </row>
    <row r="14" spans="1:30" ht="15" customHeight="1" x14ac:dyDescent="0.25">
      <c r="A14" s="81"/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6"/>
      <c r="T14" s="11"/>
      <c r="Z14" s="96" t="s">
        <v>356</v>
      </c>
      <c r="AA14" s="94"/>
      <c r="AB14" s="110"/>
      <c r="AC14" s="110"/>
      <c r="AD14" s="111"/>
    </row>
    <row r="15" spans="1:30" ht="15" customHeight="1" x14ac:dyDescent="0.25">
      <c r="A15" s="81"/>
      <c r="B15" s="118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6"/>
      <c r="Z15" s="45" t="s">
        <v>353</v>
      </c>
      <c r="AA15" s="98"/>
      <c r="AB15" s="99"/>
      <c r="AC15" s="100"/>
      <c r="AD15" s="101"/>
    </row>
    <row r="16" spans="1:30" ht="15" customHeight="1" x14ac:dyDescent="0.25">
      <c r="A16" s="81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6"/>
      <c r="Z16" s="45" t="s">
        <v>185</v>
      </c>
      <c r="AA16" s="98"/>
      <c r="AB16" s="99"/>
      <c r="AC16" s="100"/>
      <c r="AD16" s="101">
        <v>5</v>
      </c>
    </row>
    <row r="17" spans="1:30" x14ac:dyDescent="0.25">
      <c r="A17" s="81"/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6"/>
      <c r="Z17" s="45" t="s">
        <v>210</v>
      </c>
      <c r="AA17" s="98"/>
      <c r="AB17" s="99"/>
      <c r="AC17" s="100"/>
      <c r="AD17" s="101"/>
    </row>
    <row r="18" spans="1:30" x14ac:dyDescent="0.25">
      <c r="A18" s="81"/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6"/>
      <c r="Z18" s="45" t="s">
        <v>354</v>
      </c>
      <c r="AA18" s="98"/>
      <c r="AB18" s="99"/>
      <c r="AC18" s="100"/>
      <c r="AD18" s="101"/>
    </row>
    <row r="19" spans="1:30" x14ac:dyDescent="0.25">
      <c r="A19" s="81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6"/>
      <c r="Z19" s="45" t="s">
        <v>46</v>
      </c>
      <c r="AA19" s="98"/>
      <c r="AB19" s="99"/>
      <c r="AC19" s="100"/>
      <c r="AD19" s="101">
        <v>9</v>
      </c>
    </row>
    <row r="20" spans="1:30" x14ac:dyDescent="0.25">
      <c r="A20" s="81"/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6"/>
      <c r="Z20" s="45" t="s">
        <v>204</v>
      </c>
      <c r="AA20" s="98"/>
      <c r="AB20" s="99"/>
      <c r="AC20" s="100"/>
      <c r="AD20" s="101"/>
    </row>
    <row r="21" spans="1:30" x14ac:dyDescent="0.25">
      <c r="A21" s="81"/>
      <c r="B21" s="118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6"/>
      <c r="Z21" s="45" t="s">
        <v>143</v>
      </c>
      <c r="AA21" s="98"/>
      <c r="AB21" s="99"/>
      <c r="AC21" s="100"/>
      <c r="AD21" s="101">
        <v>5</v>
      </c>
    </row>
    <row r="22" spans="1:30" x14ac:dyDescent="0.25">
      <c r="A22" s="81"/>
      <c r="B22" s="118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6"/>
      <c r="Z22" s="45" t="s">
        <v>147</v>
      </c>
      <c r="AA22" s="98"/>
      <c r="AB22" s="99"/>
      <c r="AC22" s="100"/>
      <c r="AD22" s="101">
        <v>6</v>
      </c>
    </row>
    <row r="23" spans="1:30" x14ac:dyDescent="0.25">
      <c r="A23" s="81"/>
      <c r="B23" s="118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6"/>
      <c r="Z23" s="45" t="s">
        <v>57</v>
      </c>
      <c r="AA23" s="98"/>
      <c r="AB23" s="99"/>
      <c r="AC23" s="100"/>
      <c r="AD23" s="101">
        <v>13</v>
      </c>
    </row>
    <row r="24" spans="1:30" x14ac:dyDescent="0.25">
      <c r="A24" s="81"/>
      <c r="B24" s="11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6"/>
      <c r="Z24" s="46" t="s">
        <v>52</v>
      </c>
      <c r="AA24" s="98"/>
      <c r="AB24" s="99"/>
      <c r="AC24" s="100"/>
      <c r="AD24" s="101">
        <v>7</v>
      </c>
    </row>
    <row r="25" spans="1:30" x14ac:dyDescent="0.25">
      <c r="A25" s="81"/>
      <c r="B25" s="118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6"/>
      <c r="Z25" s="46"/>
      <c r="AA25" s="98"/>
      <c r="AB25" s="99"/>
      <c r="AC25" s="100"/>
      <c r="AD25" s="101"/>
    </row>
    <row r="26" spans="1:30" x14ac:dyDescent="0.25">
      <c r="A26" s="81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6"/>
      <c r="Z26" s="46"/>
      <c r="AA26" s="92"/>
      <c r="AB26" s="100"/>
      <c r="AC26" s="100"/>
      <c r="AD26" s="101"/>
    </row>
    <row r="27" spans="1:30" x14ac:dyDescent="0.25">
      <c r="A27" s="81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6"/>
      <c r="Z27" s="46"/>
      <c r="AA27" s="92"/>
      <c r="AB27" s="100"/>
      <c r="AC27" s="100"/>
      <c r="AD27" s="101"/>
    </row>
    <row r="28" spans="1:30" x14ac:dyDescent="0.25">
      <c r="A28" s="81"/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6"/>
      <c r="Z28" s="97"/>
      <c r="AA28" s="92" t="s">
        <v>8</v>
      </c>
      <c r="AB28" s="100" t="s">
        <v>7</v>
      </c>
      <c r="AC28" s="100" t="s">
        <v>41</v>
      </c>
      <c r="AD28" s="101" t="s">
        <v>479</v>
      </c>
    </row>
    <row r="29" spans="1:30" x14ac:dyDescent="0.25">
      <c r="A29" s="81"/>
      <c r="B29" s="118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6"/>
      <c r="Z29" s="46"/>
      <c r="AA29" s="92"/>
      <c r="AB29" s="100"/>
      <c r="AC29" s="100"/>
      <c r="AD29" s="101"/>
    </row>
    <row r="30" spans="1:30" x14ac:dyDescent="0.25">
      <c r="A30" s="81"/>
      <c r="B30" s="118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6"/>
      <c r="Z30" s="46"/>
      <c r="AA30" s="92"/>
      <c r="AB30" s="100"/>
      <c r="AC30" s="100"/>
      <c r="AD30" s="101"/>
    </row>
    <row r="31" spans="1:30" x14ac:dyDescent="0.25">
      <c r="A31" s="81"/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6"/>
      <c r="Z31" s="46"/>
      <c r="AA31" s="92"/>
      <c r="AB31" s="100"/>
      <c r="AC31" s="100"/>
      <c r="AD31" s="101"/>
    </row>
    <row r="32" spans="1:30" x14ac:dyDescent="0.25">
      <c r="A32" s="81"/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6"/>
      <c r="Z32" s="46"/>
      <c r="AA32" s="92"/>
      <c r="AB32" s="100"/>
      <c r="AC32" s="100"/>
      <c r="AD32" s="101"/>
    </row>
    <row r="33" spans="1:30" x14ac:dyDescent="0.25">
      <c r="A33" s="81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6"/>
      <c r="Z33" s="46"/>
      <c r="AA33" s="92"/>
      <c r="AB33" s="100"/>
      <c r="AC33" s="100"/>
      <c r="AD33" s="101"/>
    </row>
    <row r="34" spans="1:30" x14ac:dyDescent="0.25">
      <c r="A34" s="81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6"/>
      <c r="Z34" s="97"/>
      <c r="AA34" s="92"/>
      <c r="AB34" s="100"/>
      <c r="AC34" s="100"/>
      <c r="AD34" s="101"/>
    </row>
    <row r="35" spans="1:30" x14ac:dyDescent="0.25">
      <c r="A35" s="81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6"/>
      <c r="Z35" s="46"/>
      <c r="AA35" s="92"/>
      <c r="AB35" s="100"/>
      <c r="AC35" s="100"/>
      <c r="AD35" s="101"/>
    </row>
    <row r="36" spans="1:30" x14ac:dyDescent="0.25">
      <c r="A36" s="81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6"/>
      <c r="Z36" s="46"/>
      <c r="AA36" s="92"/>
      <c r="AB36" s="100"/>
      <c r="AC36" s="100"/>
      <c r="AD36" s="101"/>
    </row>
    <row r="37" spans="1:30" x14ac:dyDescent="0.25">
      <c r="A37" s="81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6"/>
      <c r="Z37" s="46"/>
      <c r="AA37" s="92"/>
      <c r="AB37" s="100"/>
      <c r="AC37" s="100"/>
      <c r="AD37" s="101"/>
    </row>
    <row r="38" spans="1:30" x14ac:dyDescent="0.25">
      <c r="A38" s="81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6"/>
      <c r="Z38" s="46"/>
      <c r="AA38" s="92"/>
      <c r="AB38" s="100"/>
      <c r="AC38" s="100"/>
      <c r="AD38" s="101"/>
    </row>
    <row r="39" spans="1:30" ht="15.75" thickBot="1" x14ac:dyDescent="0.3">
      <c r="A39" s="81"/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6"/>
      <c r="Z39" s="47"/>
      <c r="AA39" s="93"/>
      <c r="AB39" s="112"/>
      <c r="AC39" s="112"/>
      <c r="AD39" s="113"/>
    </row>
    <row r="40" spans="1:30" x14ac:dyDescent="0.25">
      <c r="A40" s="81"/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6"/>
    </row>
    <row r="41" spans="1:30" x14ac:dyDescent="0.25">
      <c r="A41" s="81"/>
      <c r="B41" s="118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6"/>
    </row>
    <row r="42" spans="1:30" x14ac:dyDescent="0.25">
      <c r="A42" s="5"/>
      <c r="B42" s="118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6"/>
    </row>
    <row r="43" spans="1:30" x14ac:dyDescent="0.25">
      <c r="A43" s="5"/>
      <c r="B43" s="118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6"/>
    </row>
    <row r="44" spans="1:30" x14ac:dyDescent="0.25">
      <c r="A44" s="5"/>
      <c r="B44" s="118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6"/>
    </row>
    <row r="45" spans="1:30" x14ac:dyDescent="0.25">
      <c r="A45" s="5"/>
      <c r="B45" s="118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8"/>
      <c r="Q45" s="118"/>
      <c r="R45" s="118"/>
      <c r="S45" s="6"/>
    </row>
    <row r="46" spans="1:30" x14ac:dyDescent="0.25">
      <c r="A46" s="15"/>
      <c r="B46" s="118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6"/>
    </row>
    <row r="47" spans="1:30" ht="15" customHeight="1" x14ac:dyDescent="0.25">
      <c r="A47" s="14"/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6"/>
    </row>
    <row r="48" spans="1:30" ht="15" customHeight="1" x14ac:dyDescent="0.25">
      <c r="A48" s="14"/>
      <c r="B48" s="118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6"/>
    </row>
    <row r="49" spans="1:19" ht="15" customHeight="1" x14ac:dyDescent="0.25">
      <c r="A49" s="14"/>
      <c r="B49" s="118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6"/>
    </row>
    <row r="50" spans="1:19" ht="15" customHeight="1" x14ac:dyDescent="0.25">
      <c r="A50" s="80"/>
      <c r="B50" s="54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6"/>
    </row>
    <row r="51" spans="1:19" ht="15" customHeight="1" x14ac:dyDescent="0.25">
      <c r="A51" s="80"/>
      <c r="B51" s="59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"/>
    </row>
    <row r="52" spans="1:19" ht="15" customHeight="1" x14ac:dyDescent="0.25">
      <c r="A52" s="80"/>
      <c r="B52" s="54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6"/>
    </row>
    <row r="53" spans="1:19" x14ac:dyDescent="0.25">
      <c r="A53" s="15"/>
      <c r="S53" s="6"/>
    </row>
    <row r="54" spans="1:19" ht="15" customHeight="1" x14ac:dyDescent="0.25">
      <c r="A54" s="127" t="s">
        <v>163</v>
      </c>
      <c r="B54" s="118"/>
      <c r="C54" s="118"/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6"/>
    </row>
    <row r="55" spans="1:19" x14ac:dyDescent="0.25">
      <c r="A55" s="127"/>
      <c r="B55" s="118"/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6"/>
    </row>
    <row r="56" spans="1:19" x14ac:dyDescent="0.25">
      <c r="A56" s="127"/>
      <c r="B56" s="118"/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6"/>
    </row>
    <row r="57" spans="1:19" x14ac:dyDescent="0.25">
      <c r="A57" s="127"/>
      <c r="B57" s="118"/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6"/>
    </row>
    <row r="58" spans="1:19" x14ac:dyDescent="0.25">
      <c r="A58" s="127"/>
      <c r="B58" s="118"/>
      <c r="C58" s="118"/>
      <c r="D58" s="118"/>
      <c r="E58" s="118"/>
      <c r="F58" s="118"/>
      <c r="G58" s="118"/>
      <c r="H58" s="118"/>
      <c r="I58" s="118"/>
      <c r="J58" s="118"/>
      <c r="K58" s="118"/>
      <c r="L58" s="118"/>
      <c r="M58" s="118"/>
      <c r="N58" s="118"/>
      <c r="O58" s="118"/>
      <c r="P58" s="118"/>
      <c r="Q58" s="118"/>
      <c r="R58" s="118"/>
      <c r="S58" s="6"/>
    </row>
    <row r="59" spans="1:19" x14ac:dyDescent="0.25">
      <c r="A59" s="127"/>
      <c r="B59" s="118"/>
      <c r="C59" s="118"/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6"/>
    </row>
    <row r="60" spans="1:19" x14ac:dyDescent="0.25">
      <c r="A60" s="127"/>
      <c r="B60" s="118"/>
      <c r="C60" s="118"/>
      <c r="D60" s="118"/>
      <c r="E60" s="118"/>
      <c r="F60" s="118"/>
      <c r="G60" s="118"/>
      <c r="H60" s="118"/>
      <c r="I60" s="118"/>
      <c r="J60" s="118"/>
      <c r="K60" s="118"/>
      <c r="L60" s="118"/>
      <c r="M60" s="118"/>
      <c r="N60" s="118"/>
      <c r="O60" s="118"/>
      <c r="P60" s="118"/>
      <c r="Q60" s="118"/>
      <c r="R60" s="118"/>
      <c r="S60" s="6"/>
    </row>
    <row r="61" spans="1:19" x14ac:dyDescent="0.25">
      <c r="A61" s="127"/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6"/>
    </row>
    <row r="62" spans="1:19" x14ac:dyDescent="0.25">
      <c r="A62" s="127"/>
      <c r="B62" s="118"/>
      <c r="C62" s="118"/>
      <c r="D62" s="118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6"/>
    </row>
    <row r="63" spans="1:19" x14ac:dyDescent="0.25">
      <c r="A63" s="127"/>
      <c r="B63" s="118"/>
      <c r="C63" s="118"/>
      <c r="D63" s="118"/>
      <c r="E63" s="118"/>
      <c r="F63" s="118"/>
      <c r="G63" s="118"/>
      <c r="H63" s="118"/>
      <c r="I63" s="118"/>
      <c r="J63" s="118"/>
      <c r="K63" s="118"/>
      <c r="L63" s="118"/>
      <c r="M63" s="118"/>
      <c r="N63" s="118"/>
      <c r="O63" s="118"/>
      <c r="P63" s="118"/>
      <c r="Q63" s="118"/>
      <c r="R63" s="118"/>
      <c r="S63" s="6"/>
    </row>
    <row r="64" spans="1:19" x14ac:dyDescent="0.25">
      <c r="A64" s="127"/>
      <c r="B64" s="118"/>
      <c r="C64" s="118"/>
      <c r="D64" s="118"/>
      <c r="E64" s="118"/>
      <c r="F64" s="118"/>
      <c r="G64" s="118"/>
      <c r="H64" s="118"/>
      <c r="I64" s="118"/>
      <c r="J64" s="118"/>
      <c r="K64" s="118"/>
      <c r="L64" s="118"/>
      <c r="M64" s="118"/>
      <c r="N64" s="118"/>
      <c r="O64" s="118"/>
      <c r="P64" s="118"/>
      <c r="Q64" s="118"/>
      <c r="R64" s="118"/>
      <c r="S64" s="6"/>
    </row>
    <row r="65" spans="1:19" x14ac:dyDescent="0.25">
      <c r="A65" s="127"/>
      <c r="B65" s="118"/>
      <c r="C65" s="118"/>
      <c r="D65" s="118"/>
      <c r="E65" s="118"/>
      <c r="F65" s="118"/>
      <c r="G65" s="118"/>
      <c r="H65" s="118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6"/>
    </row>
    <row r="66" spans="1:19" x14ac:dyDescent="0.25">
      <c r="A66" s="127"/>
      <c r="B66" s="118"/>
      <c r="C66" s="118"/>
      <c r="D66" s="118"/>
      <c r="E66" s="118"/>
      <c r="F66" s="118"/>
      <c r="G66" s="118"/>
      <c r="H66" s="118"/>
      <c r="I66" s="118"/>
      <c r="J66" s="118"/>
      <c r="K66" s="118"/>
      <c r="L66" s="118"/>
      <c r="M66" s="118"/>
      <c r="N66" s="118"/>
      <c r="O66" s="118"/>
      <c r="P66" s="118"/>
      <c r="Q66" s="118"/>
      <c r="R66" s="118"/>
      <c r="S66" s="6"/>
    </row>
    <row r="67" spans="1:19" x14ac:dyDescent="0.25">
      <c r="A67" s="127"/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6"/>
    </row>
    <row r="68" spans="1:19" x14ac:dyDescent="0.25">
      <c r="A68" s="127"/>
      <c r="B68" s="118"/>
      <c r="C68" s="118"/>
      <c r="D68" s="118"/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118"/>
      <c r="Q68" s="118"/>
      <c r="R68" s="118"/>
      <c r="S68" s="6"/>
    </row>
    <row r="69" spans="1:19" x14ac:dyDescent="0.25">
      <c r="A69" s="127"/>
      <c r="B69" s="118"/>
      <c r="C69" s="118"/>
      <c r="D69" s="118"/>
      <c r="E69" s="118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118"/>
      <c r="Q69" s="118"/>
      <c r="R69" s="118"/>
      <c r="S69" s="6"/>
    </row>
    <row r="70" spans="1:19" x14ac:dyDescent="0.25">
      <c r="A70" s="127"/>
      <c r="B70" s="118"/>
      <c r="C70" s="118"/>
      <c r="D70" s="118"/>
      <c r="E70" s="118"/>
      <c r="F70" s="118"/>
      <c r="G70" s="118"/>
      <c r="H70" s="118"/>
      <c r="I70" s="118"/>
      <c r="J70" s="118"/>
      <c r="K70" s="118"/>
      <c r="L70" s="118"/>
      <c r="M70" s="118"/>
      <c r="N70" s="118"/>
      <c r="O70" s="118"/>
      <c r="P70" s="118"/>
      <c r="Q70" s="118"/>
      <c r="R70" s="118"/>
      <c r="S70" s="6"/>
    </row>
    <row r="71" spans="1:19" x14ac:dyDescent="0.25">
      <c r="A71" s="127"/>
      <c r="B71" s="118"/>
      <c r="C71" s="118"/>
      <c r="D71" s="118"/>
      <c r="E71" s="118"/>
      <c r="F71" s="118"/>
      <c r="G71" s="118"/>
      <c r="H71" s="118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6"/>
    </row>
    <row r="72" spans="1:19" x14ac:dyDescent="0.25">
      <c r="A72" s="127"/>
      <c r="B72" s="118"/>
      <c r="C72" s="118"/>
      <c r="D72" s="118"/>
      <c r="E72" s="118"/>
      <c r="F72" s="118"/>
      <c r="G72" s="118"/>
      <c r="H72" s="118"/>
      <c r="I72" s="118"/>
      <c r="J72" s="118"/>
      <c r="K72" s="118"/>
      <c r="L72" s="118"/>
      <c r="M72" s="118"/>
      <c r="N72" s="118"/>
      <c r="O72" s="118"/>
      <c r="P72" s="118"/>
      <c r="Q72" s="118"/>
      <c r="R72" s="118"/>
      <c r="S72" s="6"/>
    </row>
    <row r="73" spans="1:19" x14ac:dyDescent="0.25">
      <c r="A73" s="127"/>
      <c r="B73" s="118"/>
      <c r="C73" s="118"/>
      <c r="D73" s="118"/>
      <c r="E73" s="118"/>
      <c r="F73" s="118"/>
      <c r="G73" s="118"/>
      <c r="H73" s="118"/>
      <c r="I73" s="118"/>
      <c r="J73" s="118"/>
      <c r="K73" s="118"/>
      <c r="L73" s="118"/>
      <c r="M73" s="118"/>
      <c r="N73" s="118"/>
      <c r="O73" s="118"/>
      <c r="P73" s="118"/>
      <c r="Q73" s="118"/>
      <c r="R73" s="118"/>
      <c r="S73" s="6"/>
    </row>
    <row r="74" spans="1:19" x14ac:dyDescent="0.25">
      <c r="A74" s="127"/>
      <c r="B74" s="118"/>
      <c r="C74" s="118"/>
      <c r="D74" s="118"/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6"/>
    </row>
    <row r="75" spans="1:19" x14ac:dyDescent="0.25">
      <c r="A75" s="127"/>
      <c r="B75" s="118"/>
      <c r="C75" s="118"/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6"/>
    </row>
    <row r="76" spans="1:19" x14ac:dyDescent="0.25">
      <c r="A76" s="127"/>
      <c r="B76" s="118"/>
      <c r="C76" s="118"/>
      <c r="D76" s="118"/>
      <c r="E76" s="118"/>
      <c r="F76" s="118"/>
      <c r="G76" s="118"/>
      <c r="H76" s="118"/>
      <c r="I76" s="118"/>
      <c r="J76" s="118"/>
      <c r="K76" s="118"/>
      <c r="L76" s="118"/>
      <c r="M76" s="118"/>
      <c r="N76" s="118"/>
      <c r="O76" s="118"/>
      <c r="P76" s="118"/>
      <c r="Q76" s="118"/>
      <c r="R76" s="118"/>
      <c r="S76" s="6"/>
    </row>
    <row r="77" spans="1:19" x14ac:dyDescent="0.25">
      <c r="A77" s="127"/>
      <c r="B77" s="118"/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6"/>
    </row>
    <row r="78" spans="1:19" x14ac:dyDescent="0.25">
      <c r="A78" s="127"/>
      <c r="B78" s="118"/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6"/>
    </row>
    <row r="79" spans="1:19" x14ac:dyDescent="0.25">
      <c r="A79" s="127"/>
      <c r="B79" s="118"/>
      <c r="C79" s="118"/>
      <c r="D79" s="118"/>
      <c r="E79" s="118"/>
      <c r="F79" s="118"/>
      <c r="G79" s="118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6"/>
    </row>
    <row r="80" spans="1:19" x14ac:dyDescent="0.25">
      <c r="A80" s="127"/>
      <c r="B80" s="118"/>
      <c r="C80" s="118"/>
      <c r="D80" s="118"/>
      <c r="E80" s="118"/>
      <c r="F80" s="118"/>
      <c r="G80" s="118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6"/>
    </row>
    <row r="81" spans="1:26" x14ac:dyDescent="0.25">
      <c r="A81" s="127"/>
      <c r="B81" s="118"/>
      <c r="C81" s="118"/>
      <c r="D81" s="118"/>
      <c r="E81" s="118"/>
      <c r="F81" s="118"/>
      <c r="G81" s="118"/>
      <c r="H81" s="118"/>
      <c r="I81" s="118"/>
      <c r="J81" s="118"/>
      <c r="K81" s="118"/>
      <c r="L81" s="118"/>
      <c r="M81" s="118"/>
      <c r="N81" s="118"/>
      <c r="O81" s="118"/>
      <c r="P81" s="118"/>
      <c r="Q81" s="118"/>
      <c r="R81" s="118"/>
      <c r="S81" s="6"/>
    </row>
    <row r="82" spans="1:26" x14ac:dyDescent="0.25">
      <c r="A82" s="127"/>
      <c r="B82" s="118"/>
      <c r="C82" s="118"/>
      <c r="D82" s="118"/>
      <c r="E82" s="118"/>
      <c r="F82" s="118"/>
      <c r="G82" s="118"/>
      <c r="H82" s="118"/>
      <c r="I82" s="118"/>
      <c r="J82" s="118"/>
      <c r="K82" s="118"/>
      <c r="L82" s="118"/>
      <c r="M82" s="118"/>
      <c r="N82" s="118"/>
      <c r="O82" s="118"/>
      <c r="P82" s="118"/>
      <c r="Q82" s="118"/>
      <c r="R82" s="118"/>
      <c r="S82" s="6"/>
    </row>
    <row r="83" spans="1:26" x14ac:dyDescent="0.25">
      <c r="A83" s="127"/>
      <c r="B83" s="118"/>
      <c r="C83" s="118"/>
      <c r="D83" s="118"/>
      <c r="E83" s="118"/>
      <c r="F83" s="118"/>
      <c r="G83" s="118"/>
      <c r="H83" s="118"/>
      <c r="I83" s="118"/>
      <c r="J83" s="118"/>
      <c r="K83" s="118"/>
      <c r="L83" s="118"/>
      <c r="M83" s="118"/>
      <c r="N83" s="118"/>
      <c r="O83" s="118"/>
      <c r="P83" s="118"/>
      <c r="Q83" s="118"/>
      <c r="R83" s="118"/>
      <c r="S83" s="6"/>
    </row>
    <row r="84" spans="1:26" x14ac:dyDescent="0.25">
      <c r="A84" s="127"/>
      <c r="B84" s="118"/>
      <c r="C84" s="118"/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118"/>
      <c r="Q84" s="118"/>
      <c r="R84" s="118"/>
      <c r="S84" s="6"/>
    </row>
    <row r="85" spans="1:26" x14ac:dyDescent="0.25">
      <c r="A85" s="127"/>
      <c r="B85" s="118"/>
      <c r="C85" s="118"/>
      <c r="D85" s="118"/>
      <c r="E85" s="118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118"/>
      <c r="Q85" s="118"/>
      <c r="R85" s="118"/>
      <c r="S85" s="6"/>
    </row>
    <row r="86" spans="1:26" x14ac:dyDescent="0.25">
      <c r="A86" s="127"/>
      <c r="B86" s="118"/>
      <c r="C86" s="118"/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8"/>
      <c r="Q86" s="118"/>
      <c r="R86" s="118"/>
      <c r="S86" s="6"/>
      <c r="Z86" s="30"/>
    </row>
    <row r="87" spans="1:26" x14ac:dyDescent="0.25">
      <c r="A87" s="127"/>
      <c r="B87" s="118"/>
      <c r="C87" s="118"/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118"/>
      <c r="Q87" s="118"/>
      <c r="R87" s="118"/>
      <c r="S87" s="6"/>
    </row>
    <row r="88" spans="1:26" x14ac:dyDescent="0.25">
      <c r="A88" s="127"/>
      <c r="B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6"/>
    </row>
    <row r="89" spans="1:26" x14ac:dyDescent="0.25">
      <c r="A89" s="127"/>
      <c r="B89" s="11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18"/>
      <c r="O89" s="118"/>
      <c r="P89" s="118"/>
      <c r="Q89" s="118"/>
      <c r="R89" s="118"/>
      <c r="S89" s="6"/>
    </row>
    <row r="90" spans="1:26" x14ac:dyDescent="0.25">
      <c r="A90" s="127"/>
      <c r="B90" s="118"/>
      <c r="C90" s="118"/>
      <c r="D90" s="118"/>
      <c r="E90" s="118"/>
      <c r="F90" s="118"/>
      <c r="G90" s="118"/>
      <c r="H90" s="118"/>
      <c r="I90" s="118"/>
      <c r="J90" s="118"/>
      <c r="K90" s="118"/>
      <c r="L90" s="118"/>
      <c r="M90" s="118"/>
      <c r="N90" s="118"/>
      <c r="O90" s="118"/>
      <c r="P90" s="118"/>
      <c r="Q90" s="118"/>
      <c r="R90" s="118"/>
      <c r="S90" s="76"/>
    </row>
    <row r="91" spans="1:26" x14ac:dyDescent="0.25">
      <c r="A91" s="127"/>
      <c r="B91" s="118"/>
      <c r="C91" s="118"/>
      <c r="D91" s="118"/>
      <c r="E91" s="118"/>
      <c r="F91" s="118"/>
      <c r="G91" s="118"/>
      <c r="H91" s="118"/>
      <c r="I91" s="118"/>
      <c r="J91" s="118"/>
      <c r="K91" s="118"/>
      <c r="L91" s="118"/>
      <c r="M91" s="118"/>
      <c r="N91" s="118"/>
      <c r="O91" s="118"/>
      <c r="P91" s="118"/>
      <c r="Q91" s="118"/>
      <c r="R91" s="118"/>
      <c r="S91" s="77"/>
    </row>
    <row r="92" spans="1:26" ht="15" customHeight="1" x14ac:dyDescent="0.25">
      <c r="A92" s="127"/>
      <c r="B92" s="118"/>
      <c r="C92" s="118"/>
      <c r="D92" s="118"/>
      <c r="E92" s="118"/>
      <c r="F92" s="118"/>
      <c r="G92" s="118"/>
      <c r="H92" s="118"/>
      <c r="I92" s="118"/>
      <c r="J92" s="118"/>
      <c r="K92" s="118"/>
      <c r="L92" s="118"/>
      <c r="M92" s="118"/>
      <c r="N92" s="118"/>
      <c r="O92" s="118"/>
      <c r="P92" s="118"/>
      <c r="Q92" s="118"/>
      <c r="R92" s="118"/>
      <c r="S92" s="77"/>
    </row>
    <row r="93" spans="1:26" ht="15" customHeight="1" x14ac:dyDescent="0.25">
      <c r="A93" s="14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77"/>
    </row>
    <row r="94" spans="1:26" ht="15" customHeight="1" x14ac:dyDescent="0.25">
      <c r="A94" s="14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77"/>
    </row>
    <row r="95" spans="1:26" ht="15" customHeight="1" x14ac:dyDescent="0.25">
      <c r="A95" s="80"/>
      <c r="B95" s="54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77"/>
    </row>
    <row r="96" spans="1:26" ht="15" customHeight="1" x14ac:dyDescent="0.25">
      <c r="A96" s="80"/>
      <c r="B96" s="54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77"/>
    </row>
    <row r="97" spans="1:19" ht="15" customHeight="1" x14ac:dyDescent="0.25">
      <c r="A97" s="80"/>
      <c r="B97" s="125"/>
      <c r="C97" s="125"/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77"/>
    </row>
    <row r="98" spans="1:19" ht="15" customHeight="1" x14ac:dyDescent="0.25">
      <c r="A98" s="82"/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77"/>
    </row>
    <row r="99" spans="1:19" ht="15" customHeight="1" x14ac:dyDescent="0.25">
      <c r="A99" s="128"/>
      <c r="B99" s="125"/>
      <c r="C99" s="125"/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6"/>
    </row>
    <row r="100" spans="1:19" ht="15" customHeight="1" x14ac:dyDescent="0.25">
      <c r="A100" s="128"/>
      <c r="B100" s="125"/>
      <c r="C100" s="125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6"/>
    </row>
    <row r="101" spans="1:19" ht="15" customHeight="1" x14ac:dyDescent="0.25">
      <c r="A101" s="128"/>
      <c r="B101" s="125"/>
      <c r="C101" s="125"/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6"/>
    </row>
    <row r="102" spans="1:19" ht="15" customHeight="1" x14ac:dyDescent="0.25">
      <c r="A102" s="128"/>
      <c r="B102" s="125"/>
      <c r="C102" s="125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6"/>
    </row>
    <row r="103" spans="1:19" ht="15" customHeight="1" x14ac:dyDescent="0.25">
      <c r="A103" s="128"/>
      <c r="B103" s="125"/>
      <c r="C103" s="125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6"/>
    </row>
    <row r="104" spans="1:19" ht="15" customHeight="1" x14ac:dyDescent="0.25">
      <c r="A104" s="128"/>
      <c r="B104" s="125"/>
      <c r="C104" s="125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6"/>
    </row>
    <row r="105" spans="1:19" ht="15" customHeight="1" x14ac:dyDescent="0.25">
      <c r="A105" s="128"/>
      <c r="B105" s="125"/>
      <c r="C105" s="125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6"/>
    </row>
    <row r="106" spans="1:19" ht="15" customHeight="1" x14ac:dyDescent="0.25">
      <c r="A106" s="128"/>
      <c r="B106" s="125"/>
      <c r="C106" s="125"/>
      <c r="D106" s="125"/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6"/>
    </row>
    <row r="107" spans="1:19" ht="15" customHeight="1" x14ac:dyDescent="0.25">
      <c r="A107" s="128"/>
      <c r="B107" s="125"/>
      <c r="C107" s="125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6"/>
    </row>
    <row r="108" spans="1:19" ht="15" customHeight="1" x14ac:dyDescent="0.25">
      <c r="A108" s="128"/>
      <c r="B108" s="125"/>
      <c r="C108" s="125"/>
      <c r="D108" s="125"/>
      <c r="E108" s="125"/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6"/>
    </row>
    <row r="109" spans="1:19" ht="15" customHeight="1" x14ac:dyDescent="0.25">
      <c r="A109" s="128"/>
      <c r="B109" s="125"/>
      <c r="C109" s="125"/>
      <c r="D109" s="125"/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6"/>
    </row>
    <row r="110" spans="1:19" ht="15" customHeight="1" x14ac:dyDescent="0.25">
      <c r="A110" s="128"/>
      <c r="B110" s="125"/>
      <c r="C110" s="125"/>
      <c r="D110" s="125"/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6"/>
    </row>
    <row r="111" spans="1:19" ht="15" customHeight="1" x14ac:dyDescent="0.25">
      <c r="A111" s="128"/>
      <c r="B111" s="125"/>
      <c r="C111" s="125"/>
      <c r="D111" s="125"/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6"/>
    </row>
    <row r="112" spans="1:19" ht="15" customHeight="1" x14ac:dyDescent="0.25">
      <c r="A112" s="128"/>
      <c r="B112" s="125"/>
      <c r="C112" s="125"/>
      <c r="D112" s="125"/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6"/>
    </row>
    <row r="113" spans="1:19" ht="15" customHeight="1" x14ac:dyDescent="0.25">
      <c r="A113" s="128"/>
      <c r="B113" s="125"/>
      <c r="C113" s="125"/>
      <c r="D113" s="125"/>
      <c r="E113" s="125"/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6"/>
    </row>
    <row r="114" spans="1:19" ht="15" customHeight="1" x14ac:dyDescent="0.25">
      <c r="A114" s="128"/>
      <c r="B114" s="125"/>
      <c r="C114" s="125"/>
      <c r="D114" s="125"/>
      <c r="E114" s="125"/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6"/>
    </row>
    <row r="115" spans="1:19" ht="15" customHeight="1" x14ac:dyDescent="0.25">
      <c r="A115" s="128"/>
      <c r="B115" s="125"/>
      <c r="C115" s="125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6"/>
    </row>
    <row r="116" spans="1:19" ht="15" customHeight="1" x14ac:dyDescent="0.25">
      <c r="A116" s="128"/>
      <c r="B116" s="125"/>
      <c r="C116" s="125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6"/>
    </row>
    <row r="117" spans="1:19" ht="15" customHeight="1" x14ac:dyDescent="0.25">
      <c r="A117" s="128"/>
      <c r="B117" s="125"/>
      <c r="C117" s="125"/>
      <c r="D117" s="125"/>
      <c r="E117" s="125"/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6"/>
    </row>
    <row r="118" spans="1:19" ht="15" customHeight="1" x14ac:dyDescent="0.25">
      <c r="A118" s="128"/>
      <c r="B118" s="125"/>
      <c r="C118" s="125"/>
      <c r="D118" s="125"/>
      <c r="E118" s="125"/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6"/>
    </row>
    <row r="119" spans="1:19" ht="15" customHeight="1" x14ac:dyDescent="0.25">
      <c r="A119" s="128"/>
      <c r="B119" s="125"/>
      <c r="C119" s="125"/>
      <c r="D119" s="125"/>
      <c r="E119" s="125"/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6"/>
    </row>
    <row r="120" spans="1:19" ht="15" customHeight="1" x14ac:dyDescent="0.25">
      <c r="A120" s="128"/>
      <c r="B120" s="125"/>
      <c r="C120" s="125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6"/>
    </row>
    <row r="121" spans="1:19" ht="15" customHeight="1" x14ac:dyDescent="0.25">
      <c r="A121" s="128"/>
      <c r="B121" s="125"/>
      <c r="C121" s="125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6"/>
    </row>
    <row r="122" spans="1:19" ht="15" customHeight="1" x14ac:dyDescent="0.25">
      <c r="A122" s="128"/>
      <c r="B122" s="125"/>
      <c r="C122" s="125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6"/>
    </row>
    <row r="123" spans="1:19" ht="15" customHeight="1" x14ac:dyDescent="0.25">
      <c r="A123" s="128"/>
      <c r="B123" s="125"/>
      <c r="C123" s="125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6"/>
    </row>
    <row r="124" spans="1:19" ht="15" customHeight="1" x14ac:dyDescent="0.25">
      <c r="A124" s="128"/>
      <c r="B124" s="125"/>
      <c r="C124" s="125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6"/>
    </row>
    <row r="125" spans="1:19" ht="15" customHeight="1" x14ac:dyDescent="0.25">
      <c r="A125" s="128"/>
      <c r="B125" s="125"/>
      <c r="C125" s="125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6"/>
    </row>
    <row r="126" spans="1:19" ht="15" customHeight="1" x14ac:dyDescent="0.25">
      <c r="A126" s="128"/>
      <c r="B126" s="125"/>
      <c r="C126" s="125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6"/>
    </row>
    <row r="127" spans="1:19" ht="15" customHeight="1" x14ac:dyDescent="0.25">
      <c r="A127" s="128"/>
      <c r="B127" s="125"/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6"/>
    </row>
    <row r="128" spans="1:19" ht="15" customHeight="1" x14ac:dyDescent="0.25">
      <c r="A128" s="128"/>
      <c r="B128" s="125"/>
      <c r="C128" s="125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6"/>
    </row>
    <row r="129" spans="1:27" ht="15" customHeight="1" x14ac:dyDescent="0.25">
      <c r="A129" s="128"/>
      <c r="B129" s="125"/>
      <c r="C129" s="125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6"/>
    </row>
    <row r="130" spans="1:27" ht="15" customHeight="1" x14ac:dyDescent="0.25">
      <c r="A130" s="128"/>
      <c r="B130" s="125"/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6"/>
    </row>
    <row r="131" spans="1:27" ht="15" customHeight="1" x14ac:dyDescent="0.25">
      <c r="A131" s="128"/>
      <c r="B131" s="125"/>
      <c r="C131" s="125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6"/>
    </row>
    <row r="132" spans="1:27" ht="15" customHeight="1" x14ac:dyDescent="0.25">
      <c r="A132" s="5"/>
      <c r="B132" s="125"/>
      <c r="C132" s="125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6"/>
    </row>
    <row r="133" spans="1:27" ht="15" customHeight="1" x14ac:dyDescent="0.25">
      <c r="A133" s="5"/>
      <c r="B133" s="125"/>
      <c r="C133" s="125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6"/>
    </row>
    <row r="134" spans="1:27" ht="15" customHeight="1" x14ac:dyDescent="0.25">
      <c r="A134" s="5"/>
      <c r="B134" s="125"/>
      <c r="C134" s="125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6"/>
    </row>
    <row r="135" spans="1:27" ht="15" customHeight="1" x14ac:dyDescent="0.25">
      <c r="A135" s="5"/>
      <c r="B135" s="125"/>
      <c r="C135" s="125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6"/>
    </row>
    <row r="136" spans="1:27" x14ac:dyDescent="0.25">
      <c r="A136" s="15"/>
      <c r="S136" s="6"/>
    </row>
    <row r="137" spans="1:27" ht="15" customHeight="1" x14ac:dyDescent="0.25">
      <c r="A137" s="14"/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6"/>
    </row>
    <row r="138" spans="1:27" ht="15" customHeight="1" x14ac:dyDescent="0.25">
      <c r="A138" s="14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6"/>
    </row>
    <row r="139" spans="1:27" ht="15" customHeight="1" x14ac:dyDescent="0.25">
      <c r="A139" s="14"/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6"/>
    </row>
    <row r="140" spans="1:27" ht="15" customHeight="1" x14ac:dyDescent="0.25">
      <c r="A140" s="80"/>
      <c r="B140" s="54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76"/>
    </row>
    <row r="141" spans="1:27" ht="15" customHeight="1" x14ac:dyDescent="0.25">
      <c r="A141" s="80"/>
      <c r="B141" s="54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76"/>
    </row>
    <row r="142" spans="1:27" ht="15" customHeight="1" x14ac:dyDescent="0.25">
      <c r="A142" s="83"/>
      <c r="B142" s="59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78"/>
    </row>
    <row r="143" spans="1:27" x14ac:dyDescent="0.25">
      <c r="G143" s="30"/>
      <c r="AA143" s="2"/>
    </row>
    <row r="144" spans="1:27" ht="15" customHeight="1" x14ac:dyDescent="0.25">
      <c r="G144" s="30"/>
      <c r="AA144" s="2"/>
    </row>
    <row r="145" spans="7:27" x14ac:dyDescent="0.25">
      <c r="G145" s="30"/>
      <c r="AA145" s="2"/>
    </row>
    <row r="146" spans="7:27" x14ac:dyDescent="0.25">
      <c r="G146" s="30"/>
      <c r="AA146" s="2"/>
    </row>
    <row r="147" spans="7:27" x14ac:dyDescent="0.25">
      <c r="G147" s="30"/>
      <c r="AA147" s="2"/>
    </row>
    <row r="148" spans="7:27" x14ac:dyDescent="0.25">
      <c r="G148" s="30"/>
      <c r="AA148" s="2"/>
    </row>
    <row r="149" spans="7:27" x14ac:dyDescent="0.25">
      <c r="G149" s="30"/>
      <c r="AA149" s="2"/>
    </row>
    <row r="150" spans="7:27" x14ac:dyDescent="0.25">
      <c r="G150" s="30"/>
      <c r="AA150" s="2"/>
    </row>
    <row r="151" spans="7:27" x14ac:dyDescent="0.25">
      <c r="G151" s="30"/>
      <c r="AA151" s="2"/>
    </row>
    <row r="152" spans="7:27" x14ac:dyDescent="0.25">
      <c r="G152" s="30"/>
      <c r="AA152" s="2"/>
    </row>
    <row r="153" spans="7:27" x14ac:dyDescent="0.25">
      <c r="G153" s="30"/>
      <c r="AA153" s="2"/>
    </row>
    <row r="154" spans="7:27" x14ac:dyDescent="0.25">
      <c r="G154" s="30"/>
      <c r="AA154" s="2"/>
    </row>
    <row r="155" spans="7:27" x14ac:dyDescent="0.25">
      <c r="G155" s="30"/>
      <c r="AA155" s="2"/>
    </row>
    <row r="156" spans="7:27" x14ac:dyDescent="0.25">
      <c r="G156" s="30"/>
      <c r="AA156" s="2"/>
    </row>
    <row r="157" spans="7:27" x14ac:dyDescent="0.25">
      <c r="G157" s="30"/>
      <c r="AA157" s="2"/>
    </row>
    <row r="158" spans="7:27" x14ac:dyDescent="0.25">
      <c r="G158" s="30"/>
      <c r="AA158" s="2"/>
    </row>
    <row r="159" spans="7:27" x14ac:dyDescent="0.25">
      <c r="G159" s="30"/>
      <c r="AA159" s="2"/>
    </row>
    <row r="160" spans="7:27" x14ac:dyDescent="0.25">
      <c r="G160" s="30"/>
      <c r="AA160" s="2"/>
    </row>
    <row r="161" spans="7:27" x14ac:dyDescent="0.25">
      <c r="G161" s="30"/>
      <c r="AA161" s="2"/>
    </row>
    <row r="162" spans="7:27" x14ac:dyDescent="0.25">
      <c r="G162" s="30"/>
      <c r="AA162" s="2"/>
    </row>
    <row r="163" spans="7:27" x14ac:dyDescent="0.25">
      <c r="G163" s="30"/>
      <c r="AA163" s="2"/>
    </row>
    <row r="164" spans="7:27" x14ac:dyDescent="0.25">
      <c r="G164" s="30"/>
      <c r="AA164" s="2"/>
    </row>
    <row r="165" spans="7:27" x14ac:dyDescent="0.25">
      <c r="G165" s="30"/>
      <c r="AA165" s="2"/>
    </row>
    <row r="166" spans="7:27" x14ac:dyDescent="0.25">
      <c r="G166" s="30"/>
      <c r="AA166" s="2"/>
    </row>
    <row r="167" spans="7:27" x14ac:dyDescent="0.25">
      <c r="G167" s="30"/>
      <c r="AA167" s="2"/>
    </row>
    <row r="168" spans="7:27" x14ac:dyDescent="0.25">
      <c r="G168" s="30"/>
      <c r="AA168" s="2"/>
    </row>
    <row r="169" spans="7:27" x14ac:dyDescent="0.25">
      <c r="G169" s="30"/>
      <c r="AA169" s="2"/>
    </row>
    <row r="170" spans="7:27" x14ac:dyDescent="0.25">
      <c r="G170" s="30"/>
      <c r="AA170" s="2"/>
    </row>
    <row r="171" spans="7:27" x14ac:dyDescent="0.25">
      <c r="G171" s="30"/>
      <c r="AA171" s="2"/>
    </row>
    <row r="172" spans="7:27" x14ac:dyDescent="0.25">
      <c r="G172" s="30"/>
      <c r="AA172" s="2"/>
    </row>
    <row r="173" spans="7:27" x14ac:dyDescent="0.25">
      <c r="G173" s="30"/>
      <c r="AA173" s="2"/>
    </row>
    <row r="174" spans="7:27" x14ac:dyDescent="0.25">
      <c r="G174" s="30"/>
      <c r="AA174" s="2"/>
    </row>
    <row r="175" spans="7:27" x14ac:dyDescent="0.25">
      <c r="G175" s="30"/>
      <c r="AA175" s="2"/>
    </row>
    <row r="176" spans="7:27" x14ac:dyDescent="0.25">
      <c r="G176" s="30"/>
      <c r="AA176" s="2"/>
    </row>
    <row r="177" spans="7:27" x14ac:dyDescent="0.25">
      <c r="G177" s="30"/>
      <c r="AA177" s="2"/>
    </row>
    <row r="178" spans="7:27" x14ac:dyDescent="0.25">
      <c r="G178" s="30"/>
      <c r="AA178" s="2"/>
    </row>
    <row r="179" spans="7:27" x14ac:dyDescent="0.25">
      <c r="G179" s="30"/>
      <c r="AA179" s="2"/>
    </row>
    <row r="180" spans="7:27" x14ac:dyDescent="0.25">
      <c r="G180" s="30"/>
      <c r="AA180" s="2"/>
    </row>
    <row r="181" spans="7:27" x14ac:dyDescent="0.25">
      <c r="G181" s="30"/>
      <c r="AA181" s="2"/>
    </row>
    <row r="182" spans="7:27" ht="15" customHeight="1" x14ac:dyDescent="0.25">
      <c r="G182" s="30"/>
      <c r="AA182" s="2"/>
    </row>
    <row r="183" spans="7:27" ht="15" customHeight="1" x14ac:dyDescent="0.25">
      <c r="G183" s="30"/>
      <c r="AA183" s="2"/>
    </row>
    <row r="184" spans="7:27" ht="15" customHeight="1" x14ac:dyDescent="0.25">
      <c r="G184" s="30"/>
      <c r="AA184" s="2"/>
    </row>
    <row r="185" spans="7:27" ht="15" customHeight="1" x14ac:dyDescent="0.25">
      <c r="G185" s="30"/>
      <c r="AA185" s="2"/>
    </row>
    <row r="186" spans="7:27" ht="15" customHeight="1" x14ac:dyDescent="0.25">
      <c r="G186" s="30"/>
      <c r="AA186" s="2"/>
    </row>
    <row r="187" spans="7:27" ht="15" customHeight="1" x14ac:dyDescent="0.25">
      <c r="G187" s="30"/>
      <c r="AA187" s="2"/>
    </row>
    <row r="188" spans="7:27" x14ac:dyDescent="0.25">
      <c r="G188" s="30"/>
      <c r="AA188" s="2"/>
    </row>
    <row r="189" spans="7:27" ht="15" customHeight="1" x14ac:dyDescent="0.25">
      <c r="G189" s="30"/>
      <c r="AA189" s="2"/>
    </row>
    <row r="190" spans="7:27" x14ac:dyDescent="0.25">
      <c r="G190" s="30"/>
      <c r="AA190" s="2"/>
    </row>
    <row r="191" spans="7:27" x14ac:dyDescent="0.25">
      <c r="G191" s="30"/>
      <c r="AA191" s="2"/>
    </row>
    <row r="192" spans="7:27" x14ac:dyDescent="0.25">
      <c r="G192" s="30"/>
      <c r="AA192" s="2"/>
    </row>
    <row r="193" spans="7:27" x14ac:dyDescent="0.25">
      <c r="G193" s="30"/>
      <c r="AA193" s="2"/>
    </row>
    <row r="194" spans="7:27" x14ac:dyDescent="0.25">
      <c r="G194" s="30"/>
      <c r="AA194" s="2"/>
    </row>
    <row r="195" spans="7:27" x14ac:dyDescent="0.25">
      <c r="G195" s="30"/>
      <c r="AA195" s="2"/>
    </row>
    <row r="196" spans="7:27" x14ac:dyDescent="0.25">
      <c r="G196" s="30"/>
      <c r="AA196" s="2"/>
    </row>
    <row r="197" spans="7:27" x14ac:dyDescent="0.25">
      <c r="G197" s="30"/>
      <c r="AA197" s="2"/>
    </row>
    <row r="198" spans="7:27" x14ac:dyDescent="0.25">
      <c r="G198" s="30"/>
      <c r="AA198" s="2"/>
    </row>
    <row r="199" spans="7:27" x14ac:dyDescent="0.25">
      <c r="G199" s="30"/>
      <c r="AA199" s="2"/>
    </row>
    <row r="200" spans="7:27" x14ac:dyDescent="0.25">
      <c r="G200" s="30"/>
      <c r="AA200" s="2"/>
    </row>
    <row r="201" spans="7:27" x14ac:dyDescent="0.25">
      <c r="G201" s="30"/>
      <c r="AA201" s="2"/>
    </row>
    <row r="202" spans="7:27" x14ac:dyDescent="0.25">
      <c r="G202" s="30"/>
      <c r="AA202" s="2"/>
    </row>
    <row r="203" spans="7:27" x14ac:dyDescent="0.25">
      <c r="G203" s="30"/>
      <c r="AA203" s="2"/>
    </row>
    <row r="204" spans="7:27" x14ac:dyDescent="0.25">
      <c r="G204" s="30"/>
      <c r="AA204" s="2"/>
    </row>
    <row r="205" spans="7:27" x14ac:dyDescent="0.25">
      <c r="G205" s="30"/>
      <c r="AA205" s="2"/>
    </row>
    <row r="206" spans="7:27" x14ac:dyDescent="0.25">
      <c r="G206" s="30"/>
      <c r="AA206" s="2"/>
    </row>
    <row r="207" spans="7:27" x14ac:dyDescent="0.25">
      <c r="G207" s="30"/>
      <c r="AA207" s="2"/>
    </row>
    <row r="208" spans="7:27" x14ac:dyDescent="0.25">
      <c r="G208" s="30"/>
      <c r="AA208" s="2"/>
    </row>
    <row r="209" spans="7:27" x14ac:dyDescent="0.25">
      <c r="G209" s="30"/>
      <c r="AA209" s="2"/>
    </row>
    <row r="210" spans="7:27" x14ac:dyDescent="0.25">
      <c r="G210" s="30"/>
      <c r="AA210" s="2"/>
    </row>
    <row r="211" spans="7:27" x14ac:dyDescent="0.25">
      <c r="G211" s="30"/>
      <c r="AA211" s="2"/>
    </row>
    <row r="212" spans="7:27" x14ac:dyDescent="0.25">
      <c r="G212" s="30"/>
      <c r="AA212" s="2"/>
    </row>
    <row r="213" spans="7:27" x14ac:dyDescent="0.25">
      <c r="G213" s="30"/>
      <c r="AA213" s="2"/>
    </row>
    <row r="214" spans="7:27" x14ac:dyDescent="0.25">
      <c r="G214" s="30"/>
      <c r="AA214" s="2"/>
    </row>
    <row r="215" spans="7:27" x14ac:dyDescent="0.25">
      <c r="G215" s="30"/>
      <c r="AA215" s="2"/>
    </row>
    <row r="216" spans="7:27" x14ac:dyDescent="0.25">
      <c r="G216" s="30"/>
      <c r="AA216" s="2"/>
    </row>
    <row r="217" spans="7:27" x14ac:dyDescent="0.25">
      <c r="G217" s="30"/>
      <c r="AA217" s="2"/>
    </row>
    <row r="218" spans="7:27" x14ac:dyDescent="0.25">
      <c r="G218" s="30"/>
      <c r="AA218" s="2"/>
    </row>
    <row r="219" spans="7:27" x14ac:dyDescent="0.25">
      <c r="G219" s="30"/>
      <c r="AA219" s="2"/>
    </row>
    <row r="220" spans="7:27" x14ac:dyDescent="0.25">
      <c r="G220" s="30"/>
      <c r="AA220" s="2"/>
    </row>
    <row r="221" spans="7:27" x14ac:dyDescent="0.25">
      <c r="G221" s="30"/>
      <c r="AA221" s="2"/>
    </row>
    <row r="222" spans="7:27" x14ac:dyDescent="0.25">
      <c r="G222" s="30"/>
      <c r="AA222" s="2"/>
    </row>
    <row r="223" spans="7:27" x14ac:dyDescent="0.25">
      <c r="G223" s="30"/>
      <c r="AA223" s="2"/>
    </row>
    <row r="224" spans="7:27" x14ac:dyDescent="0.25">
      <c r="G224" s="30"/>
      <c r="AA224" s="2"/>
    </row>
    <row r="225" spans="7:27" x14ac:dyDescent="0.25">
      <c r="G225" s="30"/>
      <c r="AA225" s="2"/>
    </row>
    <row r="226" spans="7:27" x14ac:dyDescent="0.25">
      <c r="G226" s="30"/>
      <c r="AA226" s="2"/>
    </row>
    <row r="227" spans="7:27" ht="15" customHeight="1" x14ac:dyDescent="0.25">
      <c r="G227" s="30"/>
      <c r="AA227" s="2"/>
    </row>
    <row r="228" spans="7:27" ht="15" customHeight="1" x14ac:dyDescent="0.25">
      <c r="G228" s="30"/>
      <c r="AA228" s="2"/>
    </row>
    <row r="229" spans="7:27" ht="15" customHeight="1" x14ac:dyDescent="0.25">
      <c r="G229" s="30"/>
      <c r="AA229" s="2"/>
    </row>
    <row r="230" spans="7:27" ht="15" customHeight="1" x14ac:dyDescent="0.25">
      <c r="G230" s="30"/>
      <c r="AA230" s="2"/>
    </row>
    <row r="231" spans="7:27" ht="15" customHeight="1" x14ac:dyDescent="0.25">
      <c r="G231" s="30"/>
      <c r="AA231" s="2"/>
    </row>
    <row r="232" spans="7:27" ht="15" customHeight="1" x14ac:dyDescent="0.25">
      <c r="G232" s="30"/>
      <c r="AA232" s="2"/>
    </row>
    <row r="233" spans="7:27" x14ac:dyDescent="0.25">
      <c r="G233" s="30"/>
      <c r="AA233" s="2"/>
    </row>
    <row r="234" spans="7:27" ht="15" customHeight="1" x14ac:dyDescent="0.25">
      <c r="G234" s="30"/>
      <c r="AA234" s="2"/>
    </row>
    <row r="235" spans="7:27" x14ac:dyDescent="0.25">
      <c r="G235" s="30"/>
      <c r="AA235" s="2"/>
    </row>
    <row r="236" spans="7:27" x14ac:dyDescent="0.25">
      <c r="G236" s="30"/>
      <c r="AA236" s="2"/>
    </row>
    <row r="237" spans="7:27" x14ac:dyDescent="0.25">
      <c r="G237" s="30"/>
      <c r="AA237" s="2"/>
    </row>
    <row r="238" spans="7:27" x14ac:dyDescent="0.25">
      <c r="G238" s="30"/>
      <c r="AA238" s="2"/>
    </row>
    <row r="239" spans="7:27" x14ac:dyDescent="0.25">
      <c r="G239" s="30"/>
      <c r="AA239" s="2"/>
    </row>
    <row r="240" spans="7:27" x14ac:dyDescent="0.25">
      <c r="G240" s="30"/>
      <c r="AA240" s="2"/>
    </row>
    <row r="241" spans="7:27" x14ac:dyDescent="0.25">
      <c r="G241" s="30"/>
      <c r="AA241" s="2"/>
    </row>
    <row r="242" spans="7:27" x14ac:dyDescent="0.25">
      <c r="G242" s="30"/>
      <c r="AA242" s="2"/>
    </row>
    <row r="243" spans="7:27" x14ac:dyDescent="0.25">
      <c r="G243" s="30"/>
      <c r="AA243" s="2"/>
    </row>
    <row r="244" spans="7:27" x14ac:dyDescent="0.25">
      <c r="G244" s="30"/>
      <c r="AA244" s="2"/>
    </row>
    <row r="245" spans="7:27" x14ac:dyDescent="0.25">
      <c r="G245" s="30"/>
      <c r="AA245" s="2"/>
    </row>
    <row r="246" spans="7:27" x14ac:dyDescent="0.25">
      <c r="G246" s="30"/>
      <c r="AA246" s="2"/>
    </row>
    <row r="247" spans="7:27" x14ac:dyDescent="0.25">
      <c r="G247" s="30"/>
      <c r="AA247" s="2"/>
    </row>
    <row r="248" spans="7:27" x14ac:dyDescent="0.25">
      <c r="G248" s="30"/>
      <c r="AA248" s="2"/>
    </row>
    <row r="249" spans="7:27" x14ac:dyDescent="0.25">
      <c r="G249" s="30"/>
      <c r="AA249" s="2"/>
    </row>
    <row r="250" spans="7:27" x14ac:dyDescent="0.25">
      <c r="G250" s="30"/>
      <c r="AA250" s="2"/>
    </row>
    <row r="251" spans="7:27" x14ac:dyDescent="0.25">
      <c r="G251" s="30"/>
      <c r="AA251" s="2"/>
    </row>
    <row r="252" spans="7:27" x14ac:dyDescent="0.25">
      <c r="G252" s="30"/>
      <c r="AA252" s="2"/>
    </row>
    <row r="253" spans="7:27" x14ac:dyDescent="0.25">
      <c r="G253" s="30"/>
      <c r="AA253" s="2"/>
    </row>
    <row r="254" spans="7:27" x14ac:dyDescent="0.25">
      <c r="G254" s="30"/>
      <c r="AA254" s="2"/>
    </row>
    <row r="255" spans="7:27" x14ac:dyDescent="0.25">
      <c r="G255" s="30"/>
      <c r="AA255" s="2"/>
    </row>
    <row r="256" spans="7:27" x14ac:dyDescent="0.25">
      <c r="G256" s="30"/>
      <c r="AA256" s="2"/>
    </row>
    <row r="257" spans="7:27" x14ac:dyDescent="0.25">
      <c r="G257" s="30"/>
      <c r="AA257" s="2"/>
    </row>
    <row r="258" spans="7:27" x14ac:dyDescent="0.25">
      <c r="G258" s="30"/>
      <c r="AA258" s="2"/>
    </row>
    <row r="259" spans="7:27" x14ac:dyDescent="0.25">
      <c r="G259" s="30"/>
      <c r="AA259" s="2"/>
    </row>
    <row r="260" spans="7:27" x14ac:dyDescent="0.25">
      <c r="G260" s="30"/>
      <c r="AA260" s="2"/>
    </row>
    <row r="261" spans="7:27" x14ac:dyDescent="0.25">
      <c r="G261" s="30"/>
      <c r="AA261" s="2"/>
    </row>
    <row r="262" spans="7:27" x14ac:dyDescent="0.25">
      <c r="G262" s="30"/>
      <c r="AA262" s="2"/>
    </row>
    <row r="263" spans="7:27" x14ac:dyDescent="0.25">
      <c r="G263" s="30"/>
      <c r="AA263" s="2"/>
    </row>
    <row r="264" spans="7:27" x14ac:dyDescent="0.25">
      <c r="G264" s="30"/>
      <c r="AA264" s="2"/>
    </row>
    <row r="265" spans="7:27" x14ac:dyDescent="0.25">
      <c r="G265" s="30"/>
      <c r="AA265" s="2"/>
    </row>
    <row r="266" spans="7:27" x14ac:dyDescent="0.25">
      <c r="G266" s="30"/>
      <c r="AA266" s="2"/>
    </row>
    <row r="267" spans="7:27" x14ac:dyDescent="0.25">
      <c r="G267" s="30"/>
      <c r="AA267" s="2"/>
    </row>
    <row r="268" spans="7:27" x14ac:dyDescent="0.25">
      <c r="G268" s="30"/>
      <c r="AA268" s="2"/>
    </row>
    <row r="269" spans="7:27" x14ac:dyDescent="0.25">
      <c r="G269" s="30"/>
      <c r="AA269" s="2"/>
    </row>
    <row r="270" spans="7:27" x14ac:dyDescent="0.25">
      <c r="G270" s="30"/>
      <c r="AA270" s="2"/>
    </row>
    <row r="271" spans="7:27" x14ac:dyDescent="0.25">
      <c r="G271" s="30"/>
      <c r="AA271" s="2"/>
    </row>
    <row r="272" spans="7:27" x14ac:dyDescent="0.25">
      <c r="G272" s="30"/>
      <c r="AA272" s="2"/>
    </row>
    <row r="273" spans="7:27" x14ac:dyDescent="0.25">
      <c r="G273" s="30"/>
      <c r="AA273" s="2"/>
    </row>
  </sheetData>
  <mergeCells count="12">
    <mergeCell ref="B11:R49"/>
    <mergeCell ref="A54:A92"/>
    <mergeCell ref="B54:R92"/>
    <mergeCell ref="B97:R135"/>
    <mergeCell ref="A99:A131"/>
    <mergeCell ref="E1:O3"/>
    <mergeCell ref="E4:E5"/>
    <mergeCell ref="F4:O5"/>
    <mergeCell ref="E6:E7"/>
    <mergeCell ref="F6:O7"/>
    <mergeCell ref="E8:E9"/>
    <mergeCell ref="F8:O9"/>
  </mergeCells>
  <pageMargins left="0.19685039370078741" right="0.19685039370078741" top="0.19685039370078741" bottom="0.19685039370078741" header="0" footer="0.35433070866141736"/>
  <pageSetup paperSize="9" scale="39" fitToHeight="3" orientation="portrait" horizontalDpi="1200" verticalDpi="1200" r:id="rId1"/>
  <headerFooter alignWithMargins="0">
    <oddFooter xml:space="preserve">&amp;C&amp;18Tooshop | M. Santos | &amp;D&amp;R&amp;18Página &amp;P de &amp;N         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273"/>
  <sheetViews>
    <sheetView view="pageBreakPreview" zoomScale="37" zoomScaleNormal="70" zoomScaleSheetLayoutView="37" workbookViewId="0">
      <selection activeCell="T57" sqref="T57"/>
    </sheetView>
  </sheetViews>
  <sheetFormatPr defaultRowHeight="15" x14ac:dyDescent="0.25"/>
  <cols>
    <col min="1" max="1" width="4.7109375" style="2" customWidth="1"/>
    <col min="2" max="2" width="9.140625" style="2"/>
    <col min="3" max="4" width="15.7109375" style="2" customWidth="1"/>
    <col min="5" max="5" width="30.7109375" style="2" customWidth="1"/>
    <col min="6" max="6" width="18.7109375" style="2" customWidth="1"/>
    <col min="7" max="13" width="9.140625" style="2"/>
    <col min="14" max="14" width="25.7109375" style="2" customWidth="1"/>
    <col min="15" max="15" width="30.7109375" style="2" customWidth="1"/>
    <col min="16" max="17" width="15.7109375" style="2" customWidth="1"/>
    <col min="18" max="18" width="9.140625" style="2" customWidth="1"/>
    <col min="19" max="19" width="4.5703125" style="2" customWidth="1"/>
    <col min="20" max="20" width="50.140625" style="2" customWidth="1"/>
    <col min="21" max="21" width="6.85546875" style="2" customWidth="1"/>
    <col min="22" max="22" width="6.5703125" style="2" customWidth="1"/>
    <col min="23" max="23" width="6.7109375" style="2" customWidth="1"/>
    <col min="24" max="24" width="7.28515625" style="2" customWidth="1"/>
    <col min="25" max="25" width="9.140625" style="2"/>
    <col min="26" max="26" width="39" style="2" bestFit="1" customWidth="1"/>
    <col min="27" max="27" width="13.5703125" style="30" bestFit="1" customWidth="1"/>
    <col min="28" max="28" width="10.42578125" style="2" bestFit="1" customWidth="1"/>
    <col min="29" max="29" width="19.42578125" style="2" bestFit="1" customWidth="1"/>
    <col min="30" max="30" width="5.42578125" style="2" bestFit="1" customWidth="1"/>
    <col min="31" max="16384" width="9.140625" style="2"/>
  </cols>
  <sheetData>
    <row r="1" spans="1:30" ht="15" customHeight="1" x14ac:dyDescent="0.25">
      <c r="A1" s="13"/>
      <c r="B1" s="3"/>
      <c r="C1" s="3"/>
      <c r="D1" s="3"/>
      <c r="E1" s="116" t="s">
        <v>3</v>
      </c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3"/>
      <c r="Q1" s="3"/>
      <c r="R1" s="3"/>
      <c r="S1" s="4"/>
      <c r="T1" s="10"/>
      <c r="Z1" s="49" t="s">
        <v>4</v>
      </c>
      <c r="AA1" s="88"/>
      <c r="AB1" s="102"/>
      <c r="AC1" s="103"/>
      <c r="AD1" s="104"/>
    </row>
    <row r="2" spans="1:30" ht="15" customHeight="1" x14ac:dyDescent="0.25">
      <c r="A2" s="14"/>
      <c r="B2" s="56"/>
      <c r="C2" s="56"/>
      <c r="D2" s="56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58"/>
      <c r="Q2" s="56"/>
      <c r="R2" s="56"/>
      <c r="S2" s="6"/>
      <c r="Z2" s="50" t="s">
        <v>477</v>
      </c>
      <c r="AA2" s="89">
        <v>3</v>
      </c>
      <c r="AB2" s="95"/>
      <c r="AC2" s="95"/>
      <c r="AD2" s="105"/>
    </row>
    <row r="3" spans="1:30" ht="15" customHeight="1" x14ac:dyDescent="0.25">
      <c r="A3" s="14"/>
      <c r="B3" s="56"/>
      <c r="C3" s="56"/>
      <c r="D3" s="56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58"/>
      <c r="Q3" s="56"/>
      <c r="R3" s="56"/>
      <c r="S3" s="6"/>
      <c r="Z3" s="50" t="s">
        <v>476</v>
      </c>
      <c r="AA3" s="89">
        <v>6</v>
      </c>
      <c r="AB3" s="95"/>
      <c r="AC3" s="95"/>
      <c r="AD3" s="105"/>
    </row>
    <row r="4" spans="1:30" ht="15" customHeight="1" x14ac:dyDescent="0.25">
      <c r="A4" s="14"/>
      <c r="B4" s="56"/>
      <c r="C4" s="56"/>
      <c r="D4" s="56"/>
      <c r="E4" s="129" t="str">
        <f>"Projeto: "</f>
        <v xml:space="preserve">Projeto: </v>
      </c>
      <c r="F4" s="131" t="str">
        <f>T7</f>
        <v>VW483_CN - Passat CC</v>
      </c>
      <c r="G4" s="131"/>
      <c r="H4" s="131"/>
      <c r="I4" s="131"/>
      <c r="J4" s="131"/>
      <c r="K4" s="131"/>
      <c r="L4" s="131"/>
      <c r="M4" s="131"/>
      <c r="N4" s="131"/>
      <c r="O4" s="132"/>
      <c r="P4" s="58"/>
      <c r="Q4" s="56"/>
      <c r="R4" s="56"/>
      <c r="S4" s="6"/>
      <c r="Z4" s="50" t="s">
        <v>218</v>
      </c>
      <c r="AA4" s="89">
        <v>2</v>
      </c>
      <c r="AB4" s="95"/>
      <c r="AC4" s="95"/>
      <c r="AD4" s="105"/>
    </row>
    <row r="5" spans="1:30" ht="15" customHeight="1" x14ac:dyDescent="0.25">
      <c r="A5" s="80"/>
      <c r="B5" s="54"/>
      <c r="C5" s="55"/>
      <c r="D5" s="55"/>
      <c r="E5" s="130"/>
      <c r="F5" s="133"/>
      <c r="G5" s="133"/>
      <c r="H5" s="133"/>
      <c r="I5" s="133"/>
      <c r="J5" s="133"/>
      <c r="K5" s="133"/>
      <c r="L5" s="133"/>
      <c r="M5" s="133"/>
      <c r="N5" s="133"/>
      <c r="O5" s="134"/>
      <c r="P5" s="58"/>
      <c r="Q5" s="55"/>
      <c r="R5" s="55"/>
      <c r="S5" s="6"/>
      <c r="Z5" s="50" t="s">
        <v>475</v>
      </c>
      <c r="AA5" s="89"/>
      <c r="AB5" s="95"/>
      <c r="AC5" s="95"/>
      <c r="AD5" s="105"/>
    </row>
    <row r="6" spans="1:30" ht="15" customHeight="1" x14ac:dyDescent="0.25">
      <c r="A6" s="80"/>
      <c r="B6" s="54"/>
      <c r="C6" s="55"/>
      <c r="D6" s="55"/>
      <c r="E6" s="135" t="str">
        <f>"Peça: "</f>
        <v xml:space="preserve">Peça: </v>
      </c>
      <c r="F6" s="136" t="str">
        <f>T8</f>
        <v>3G8.823.155</v>
      </c>
      <c r="G6" s="136"/>
      <c r="H6" s="136"/>
      <c r="I6" s="136"/>
      <c r="J6" s="136"/>
      <c r="K6" s="136"/>
      <c r="L6" s="136"/>
      <c r="M6" s="136"/>
      <c r="N6" s="136"/>
      <c r="O6" s="137"/>
      <c r="P6" s="58"/>
      <c r="Q6" s="55"/>
      <c r="R6" s="55"/>
      <c r="S6" s="6"/>
      <c r="T6" s="17" t="s">
        <v>367</v>
      </c>
      <c r="Z6" s="50" t="s">
        <v>249</v>
      </c>
      <c r="AA6" s="89">
        <v>2</v>
      </c>
      <c r="AB6" s="95"/>
      <c r="AC6" s="95"/>
      <c r="AD6" s="105"/>
    </row>
    <row r="7" spans="1:30" ht="15" customHeight="1" x14ac:dyDescent="0.25">
      <c r="A7" s="80"/>
      <c r="B7" s="54"/>
      <c r="C7" s="55"/>
      <c r="D7" s="55"/>
      <c r="E7" s="130"/>
      <c r="F7" s="133"/>
      <c r="G7" s="133"/>
      <c r="H7" s="133"/>
      <c r="I7" s="133"/>
      <c r="J7" s="133"/>
      <c r="K7" s="133"/>
      <c r="L7" s="133"/>
      <c r="M7" s="133"/>
      <c r="N7" s="133"/>
      <c r="O7" s="134"/>
      <c r="P7" s="55"/>
      <c r="Q7" s="55"/>
      <c r="R7" s="55"/>
      <c r="S7" s="6"/>
      <c r="T7" s="53" t="s">
        <v>85</v>
      </c>
      <c r="Z7" s="50" t="s">
        <v>2</v>
      </c>
      <c r="AA7" s="89">
        <f>SUM(AA2:AA6)</f>
        <v>13</v>
      </c>
      <c r="AB7" s="95">
        <f>SUM(AB2:AB6)</f>
        <v>0</v>
      </c>
      <c r="AC7" s="95"/>
      <c r="AD7" s="105"/>
    </row>
    <row r="8" spans="1:30" ht="15" customHeight="1" x14ac:dyDescent="0.25">
      <c r="A8" s="15"/>
      <c r="E8" s="135" t="str">
        <f>"Ano: "</f>
        <v xml:space="preserve">Ano: </v>
      </c>
      <c r="F8" s="136">
        <f>T9</f>
        <v>2017</v>
      </c>
      <c r="G8" s="136"/>
      <c r="H8" s="136"/>
      <c r="I8" s="136"/>
      <c r="J8" s="136"/>
      <c r="K8" s="136"/>
      <c r="L8" s="136"/>
      <c r="M8" s="136"/>
      <c r="N8" s="136"/>
      <c r="O8" s="137"/>
      <c r="S8" s="6"/>
      <c r="T8" s="2" t="s">
        <v>109</v>
      </c>
      <c r="Z8" s="48" t="s">
        <v>5</v>
      </c>
      <c r="AA8" s="90"/>
      <c r="AB8" s="106"/>
      <c r="AC8" s="106"/>
      <c r="AD8" s="107"/>
    </row>
    <row r="9" spans="1:30" ht="15" customHeight="1" x14ac:dyDescent="0.25">
      <c r="A9" s="81"/>
      <c r="B9" s="57"/>
      <c r="C9" s="57"/>
      <c r="D9" s="57"/>
      <c r="E9" s="130"/>
      <c r="F9" s="133"/>
      <c r="G9" s="133"/>
      <c r="H9" s="133"/>
      <c r="I9" s="133"/>
      <c r="J9" s="133"/>
      <c r="K9" s="133"/>
      <c r="L9" s="133"/>
      <c r="M9" s="133"/>
      <c r="N9" s="133"/>
      <c r="O9" s="134"/>
      <c r="P9" s="57"/>
      <c r="Q9" s="57"/>
      <c r="R9" s="57"/>
      <c r="S9" s="6"/>
      <c r="T9" s="2">
        <v>2017</v>
      </c>
      <c r="Z9" s="44" t="s">
        <v>8</v>
      </c>
      <c r="AA9" s="91">
        <v>1</v>
      </c>
      <c r="AB9" s="108"/>
      <c r="AC9" s="108"/>
      <c r="AD9" s="109"/>
    </row>
    <row r="10" spans="1:30" x14ac:dyDescent="0.25">
      <c r="A10" s="81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6"/>
      <c r="Z10" s="44" t="s">
        <v>7</v>
      </c>
      <c r="AA10" s="91"/>
      <c r="AB10" s="108"/>
      <c r="AC10" s="108"/>
      <c r="AD10" s="109"/>
    </row>
    <row r="11" spans="1:30" ht="15" customHeight="1" x14ac:dyDescent="0.25">
      <c r="A11" s="81"/>
      <c r="B11" s="118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6"/>
      <c r="Z11" s="44" t="s">
        <v>41</v>
      </c>
      <c r="AA11" s="91">
        <v>1</v>
      </c>
      <c r="AB11" s="108"/>
      <c r="AC11" s="108"/>
      <c r="AD11" s="109"/>
    </row>
    <row r="12" spans="1:30" ht="15" customHeight="1" x14ac:dyDescent="0.25">
      <c r="A12" s="81"/>
      <c r="B12" s="118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6"/>
      <c r="Z12" s="44" t="s">
        <v>40</v>
      </c>
      <c r="AA12" s="91"/>
      <c r="AB12" s="108"/>
      <c r="AC12" s="108"/>
      <c r="AD12" s="109"/>
    </row>
    <row r="13" spans="1:30" ht="15" customHeight="1" x14ac:dyDescent="0.25">
      <c r="A13" s="81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6"/>
      <c r="T13" s="12"/>
      <c r="Z13" s="44" t="s">
        <v>1</v>
      </c>
      <c r="AA13" s="91"/>
      <c r="AB13" s="108"/>
      <c r="AC13" s="108"/>
      <c r="AD13" s="109"/>
    </row>
    <row r="14" spans="1:30" ht="15" customHeight="1" x14ac:dyDescent="0.25">
      <c r="A14" s="81"/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6"/>
      <c r="T14" s="11"/>
      <c r="Z14" s="96" t="s">
        <v>356</v>
      </c>
      <c r="AA14" s="94"/>
      <c r="AB14" s="110"/>
      <c r="AC14" s="110"/>
      <c r="AD14" s="111"/>
    </row>
    <row r="15" spans="1:30" ht="15" customHeight="1" x14ac:dyDescent="0.25">
      <c r="A15" s="81"/>
      <c r="B15" s="118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6"/>
      <c r="Z15" s="45" t="s">
        <v>353</v>
      </c>
      <c r="AA15" s="98"/>
      <c r="AB15" s="99"/>
      <c r="AC15" s="100"/>
      <c r="AD15" s="101"/>
    </row>
    <row r="16" spans="1:30" ht="15" customHeight="1" x14ac:dyDescent="0.25">
      <c r="A16" s="81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6"/>
      <c r="Z16" s="45" t="s">
        <v>185</v>
      </c>
      <c r="AA16" s="98"/>
      <c r="AB16" s="99"/>
      <c r="AC16" s="100"/>
      <c r="AD16" s="101"/>
    </row>
    <row r="17" spans="1:30" x14ac:dyDescent="0.25">
      <c r="A17" s="81"/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6"/>
      <c r="Z17" s="45" t="s">
        <v>210</v>
      </c>
      <c r="AA17" s="98"/>
      <c r="AB17" s="99"/>
      <c r="AC17" s="100"/>
      <c r="AD17" s="101"/>
    </row>
    <row r="18" spans="1:30" x14ac:dyDescent="0.25">
      <c r="A18" s="81"/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6"/>
      <c r="Z18" s="45" t="s">
        <v>354</v>
      </c>
      <c r="AA18" s="98"/>
      <c r="AB18" s="99"/>
      <c r="AC18" s="100"/>
      <c r="AD18" s="101"/>
    </row>
    <row r="19" spans="1:30" x14ac:dyDescent="0.25">
      <c r="A19" s="81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6"/>
      <c r="Z19" s="45" t="s">
        <v>46</v>
      </c>
      <c r="AA19" s="98"/>
      <c r="AB19" s="99"/>
      <c r="AC19" s="100"/>
      <c r="AD19" s="101">
        <v>3</v>
      </c>
    </row>
    <row r="20" spans="1:30" x14ac:dyDescent="0.25">
      <c r="A20" s="81"/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6"/>
      <c r="Z20" s="45" t="s">
        <v>204</v>
      </c>
      <c r="AA20" s="98"/>
      <c r="AB20" s="99"/>
      <c r="AC20" s="100"/>
      <c r="AD20" s="101">
        <v>5</v>
      </c>
    </row>
    <row r="21" spans="1:30" x14ac:dyDescent="0.25">
      <c r="A21" s="81"/>
      <c r="B21" s="118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6"/>
      <c r="Z21" s="45" t="s">
        <v>143</v>
      </c>
      <c r="AA21" s="98"/>
      <c r="AB21" s="99"/>
      <c r="AC21" s="100"/>
      <c r="AD21" s="101">
        <v>4</v>
      </c>
    </row>
    <row r="22" spans="1:30" x14ac:dyDescent="0.25">
      <c r="A22" s="81"/>
      <c r="B22" s="118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6"/>
      <c r="Z22" s="45" t="s">
        <v>147</v>
      </c>
      <c r="AA22" s="98"/>
      <c r="AB22" s="99"/>
      <c r="AC22" s="100"/>
      <c r="AD22" s="101">
        <v>1</v>
      </c>
    </row>
    <row r="23" spans="1:30" x14ac:dyDescent="0.25">
      <c r="A23" s="81"/>
      <c r="B23" s="118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6"/>
      <c r="Z23" s="45" t="s">
        <v>57</v>
      </c>
      <c r="AA23" s="98"/>
      <c r="AB23" s="99"/>
      <c r="AC23" s="100"/>
      <c r="AD23" s="101"/>
    </row>
    <row r="24" spans="1:30" x14ac:dyDescent="0.25">
      <c r="A24" s="81"/>
      <c r="B24" s="11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6"/>
      <c r="Z24" s="46" t="s">
        <v>52</v>
      </c>
      <c r="AA24" s="98"/>
      <c r="AB24" s="99"/>
      <c r="AC24" s="100"/>
      <c r="AD24" s="101"/>
    </row>
    <row r="25" spans="1:30" x14ac:dyDescent="0.25">
      <c r="A25" s="81"/>
      <c r="B25" s="118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6"/>
      <c r="Z25" s="46"/>
      <c r="AA25" s="98"/>
      <c r="AB25" s="99"/>
      <c r="AC25" s="100"/>
      <c r="AD25" s="101"/>
    </row>
    <row r="26" spans="1:30" x14ac:dyDescent="0.25">
      <c r="A26" s="81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6"/>
      <c r="Z26" s="46"/>
      <c r="AA26" s="92"/>
      <c r="AB26" s="100"/>
      <c r="AC26" s="100"/>
      <c r="AD26" s="101"/>
    </row>
    <row r="27" spans="1:30" x14ac:dyDescent="0.25">
      <c r="A27" s="81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6"/>
      <c r="Z27" s="46"/>
      <c r="AA27" s="92"/>
      <c r="AB27" s="100"/>
      <c r="AC27" s="100"/>
      <c r="AD27" s="101"/>
    </row>
    <row r="28" spans="1:30" x14ac:dyDescent="0.25">
      <c r="A28" s="81"/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6"/>
      <c r="Z28" s="97"/>
      <c r="AA28" s="92" t="s">
        <v>8</v>
      </c>
      <c r="AB28" s="100" t="s">
        <v>7</v>
      </c>
      <c r="AC28" s="100" t="s">
        <v>41</v>
      </c>
      <c r="AD28" s="101" t="s">
        <v>479</v>
      </c>
    </row>
    <row r="29" spans="1:30" x14ac:dyDescent="0.25">
      <c r="A29" s="81"/>
      <c r="B29" s="118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6"/>
      <c r="Z29" s="46"/>
      <c r="AA29" s="92"/>
      <c r="AB29" s="100"/>
      <c r="AC29" s="100"/>
      <c r="AD29" s="101"/>
    </row>
    <row r="30" spans="1:30" x14ac:dyDescent="0.25">
      <c r="A30" s="81"/>
      <c r="B30" s="118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6"/>
      <c r="Z30" s="46"/>
      <c r="AA30" s="92"/>
      <c r="AB30" s="100"/>
      <c r="AC30" s="100"/>
      <c r="AD30" s="101"/>
    </row>
    <row r="31" spans="1:30" x14ac:dyDescent="0.25">
      <c r="A31" s="81"/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6"/>
      <c r="Z31" s="46"/>
      <c r="AA31" s="92"/>
      <c r="AB31" s="100"/>
      <c r="AC31" s="100"/>
      <c r="AD31" s="101"/>
    </row>
    <row r="32" spans="1:30" x14ac:dyDescent="0.25">
      <c r="A32" s="81"/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6"/>
      <c r="Z32" s="46"/>
      <c r="AA32" s="92"/>
      <c r="AB32" s="100"/>
      <c r="AC32" s="100"/>
      <c r="AD32" s="101"/>
    </row>
    <row r="33" spans="1:30" x14ac:dyDescent="0.25">
      <c r="A33" s="81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6"/>
      <c r="Z33" s="46"/>
      <c r="AA33" s="92"/>
      <c r="AB33" s="100"/>
      <c r="AC33" s="100"/>
      <c r="AD33" s="101"/>
    </row>
    <row r="34" spans="1:30" x14ac:dyDescent="0.25">
      <c r="A34" s="81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6"/>
      <c r="Z34" s="97"/>
      <c r="AA34" s="92"/>
      <c r="AB34" s="100"/>
      <c r="AC34" s="100"/>
      <c r="AD34" s="101"/>
    </row>
    <row r="35" spans="1:30" x14ac:dyDescent="0.25">
      <c r="A35" s="81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6"/>
      <c r="Z35" s="46"/>
      <c r="AA35" s="92"/>
      <c r="AB35" s="100"/>
      <c r="AC35" s="100"/>
      <c r="AD35" s="101"/>
    </row>
    <row r="36" spans="1:30" x14ac:dyDescent="0.25">
      <c r="A36" s="81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6"/>
      <c r="Z36" s="46"/>
      <c r="AA36" s="92"/>
      <c r="AB36" s="100"/>
      <c r="AC36" s="100"/>
      <c r="AD36" s="101"/>
    </row>
    <row r="37" spans="1:30" x14ac:dyDescent="0.25">
      <c r="A37" s="81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6"/>
      <c r="Z37" s="46"/>
      <c r="AA37" s="92"/>
      <c r="AB37" s="100"/>
      <c r="AC37" s="100"/>
      <c r="AD37" s="101"/>
    </row>
    <row r="38" spans="1:30" x14ac:dyDescent="0.25">
      <c r="A38" s="81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6"/>
      <c r="Z38" s="46"/>
      <c r="AA38" s="92"/>
      <c r="AB38" s="100"/>
      <c r="AC38" s="100"/>
      <c r="AD38" s="101"/>
    </row>
    <row r="39" spans="1:30" ht="15.75" thickBot="1" x14ac:dyDescent="0.3">
      <c r="A39" s="81"/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6"/>
      <c r="Z39" s="47"/>
      <c r="AA39" s="93"/>
      <c r="AB39" s="112"/>
      <c r="AC39" s="112"/>
      <c r="AD39" s="113"/>
    </row>
    <row r="40" spans="1:30" x14ac:dyDescent="0.25">
      <c r="A40" s="81"/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6"/>
    </row>
    <row r="41" spans="1:30" x14ac:dyDescent="0.25">
      <c r="A41" s="81"/>
      <c r="B41" s="118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6"/>
    </row>
    <row r="42" spans="1:30" x14ac:dyDescent="0.25">
      <c r="A42" s="5"/>
      <c r="B42" s="118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6"/>
    </row>
    <row r="43" spans="1:30" x14ac:dyDescent="0.25">
      <c r="A43" s="5"/>
      <c r="B43" s="118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6"/>
    </row>
    <row r="44" spans="1:30" x14ac:dyDescent="0.25">
      <c r="A44" s="5"/>
      <c r="B44" s="118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6"/>
    </row>
    <row r="45" spans="1:30" x14ac:dyDescent="0.25">
      <c r="A45" s="5"/>
      <c r="B45" s="118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8"/>
      <c r="Q45" s="118"/>
      <c r="R45" s="118"/>
      <c r="S45" s="6"/>
    </row>
    <row r="46" spans="1:30" x14ac:dyDescent="0.25">
      <c r="A46" s="15"/>
      <c r="B46" s="118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6"/>
    </row>
    <row r="47" spans="1:30" ht="15" customHeight="1" x14ac:dyDescent="0.25">
      <c r="A47" s="14"/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6"/>
    </row>
    <row r="48" spans="1:30" ht="15" customHeight="1" x14ac:dyDescent="0.25">
      <c r="A48" s="14"/>
      <c r="B48" s="118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6"/>
    </row>
    <row r="49" spans="1:19" ht="15" customHeight="1" x14ac:dyDescent="0.25">
      <c r="A49" s="14"/>
      <c r="B49" s="118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6"/>
    </row>
    <row r="50" spans="1:19" ht="15" customHeight="1" x14ac:dyDescent="0.25">
      <c r="A50" s="80"/>
      <c r="B50" s="54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6"/>
    </row>
    <row r="51" spans="1:19" ht="15" customHeight="1" x14ac:dyDescent="0.25">
      <c r="A51" s="80"/>
      <c r="B51" s="59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"/>
    </row>
    <row r="52" spans="1:19" ht="15" customHeight="1" x14ac:dyDescent="0.25">
      <c r="A52" s="80"/>
      <c r="B52" s="54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6"/>
    </row>
    <row r="53" spans="1:19" x14ac:dyDescent="0.25">
      <c r="A53" s="15"/>
      <c r="S53" s="6"/>
    </row>
    <row r="54" spans="1:19" ht="15" customHeight="1" x14ac:dyDescent="0.25">
      <c r="A54" s="127" t="s">
        <v>163</v>
      </c>
      <c r="B54" s="118"/>
      <c r="C54" s="118"/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6"/>
    </row>
    <row r="55" spans="1:19" x14ac:dyDescent="0.25">
      <c r="A55" s="127"/>
      <c r="B55" s="118"/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6"/>
    </row>
    <row r="56" spans="1:19" x14ac:dyDescent="0.25">
      <c r="A56" s="127"/>
      <c r="B56" s="118"/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6"/>
    </row>
    <row r="57" spans="1:19" x14ac:dyDescent="0.25">
      <c r="A57" s="127"/>
      <c r="B57" s="118"/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6"/>
    </row>
    <row r="58" spans="1:19" x14ac:dyDescent="0.25">
      <c r="A58" s="127"/>
      <c r="B58" s="118"/>
      <c r="C58" s="118"/>
      <c r="D58" s="118"/>
      <c r="E58" s="118"/>
      <c r="F58" s="118"/>
      <c r="G58" s="118"/>
      <c r="H58" s="118"/>
      <c r="I58" s="118"/>
      <c r="J58" s="118"/>
      <c r="K58" s="118"/>
      <c r="L58" s="118"/>
      <c r="M58" s="118"/>
      <c r="N58" s="118"/>
      <c r="O58" s="118"/>
      <c r="P58" s="118"/>
      <c r="Q58" s="118"/>
      <c r="R58" s="118"/>
      <c r="S58" s="6"/>
    </row>
    <row r="59" spans="1:19" x14ac:dyDescent="0.25">
      <c r="A59" s="127"/>
      <c r="B59" s="118"/>
      <c r="C59" s="118"/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6"/>
    </row>
    <row r="60" spans="1:19" x14ac:dyDescent="0.25">
      <c r="A60" s="127"/>
      <c r="B60" s="118"/>
      <c r="C60" s="118"/>
      <c r="D60" s="118"/>
      <c r="E60" s="118"/>
      <c r="F60" s="118"/>
      <c r="G60" s="118"/>
      <c r="H60" s="118"/>
      <c r="I60" s="118"/>
      <c r="J60" s="118"/>
      <c r="K60" s="118"/>
      <c r="L60" s="118"/>
      <c r="M60" s="118"/>
      <c r="N60" s="118"/>
      <c r="O60" s="118"/>
      <c r="P60" s="118"/>
      <c r="Q60" s="118"/>
      <c r="R60" s="118"/>
      <c r="S60" s="6"/>
    </row>
    <row r="61" spans="1:19" x14ac:dyDescent="0.25">
      <c r="A61" s="127"/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6"/>
    </row>
    <row r="62" spans="1:19" x14ac:dyDescent="0.25">
      <c r="A62" s="127"/>
      <c r="B62" s="118"/>
      <c r="C62" s="118"/>
      <c r="D62" s="118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6"/>
    </row>
    <row r="63" spans="1:19" x14ac:dyDescent="0.25">
      <c r="A63" s="127"/>
      <c r="B63" s="118"/>
      <c r="C63" s="118"/>
      <c r="D63" s="118"/>
      <c r="E63" s="118"/>
      <c r="F63" s="118"/>
      <c r="G63" s="118"/>
      <c r="H63" s="118"/>
      <c r="I63" s="118"/>
      <c r="J63" s="118"/>
      <c r="K63" s="118"/>
      <c r="L63" s="118"/>
      <c r="M63" s="118"/>
      <c r="N63" s="118"/>
      <c r="O63" s="118"/>
      <c r="P63" s="118"/>
      <c r="Q63" s="118"/>
      <c r="R63" s="118"/>
      <c r="S63" s="6"/>
    </row>
    <row r="64" spans="1:19" x14ac:dyDescent="0.25">
      <c r="A64" s="127"/>
      <c r="B64" s="118"/>
      <c r="C64" s="118"/>
      <c r="D64" s="118"/>
      <c r="E64" s="118"/>
      <c r="F64" s="118"/>
      <c r="G64" s="118"/>
      <c r="H64" s="118"/>
      <c r="I64" s="118"/>
      <c r="J64" s="118"/>
      <c r="K64" s="118"/>
      <c r="L64" s="118"/>
      <c r="M64" s="118"/>
      <c r="N64" s="118"/>
      <c r="O64" s="118"/>
      <c r="P64" s="118"/>
      <c r="Q64" s="118"/>
      <c r="R64" s="118"/>
      <c r="S64" s="6"/>
    </row>
    <row r="65" spans="1:19" x14ac:dyDescent="0.25">
      <c r="A65" s="127"/>
      <c r="B65" s="118"/>
      <c r="C65" s="118"/>
      <c r="D65" s="118"/>
      <c r="E65" s="118"/>
      <c r="F65" s="118"/>
      <c r="G65" s="118"/>
      <c r="H65" s="118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6"/>
    </row>
    <row r="66" spans="1:19" x14ac:dyDescent="0.25">
      <c r="A66" s="127"/>
      <c r="B66" s="118"/>
      <c r="C66" s="118"/>
      <c r="D66" s="118"/>
      <c r="E66" s="118"/>
      <c r="F66" s="118"/>
      <c r="G66" s="118"/>
      <c r="H66" s="118"/>
      <c r="I66" s="118"/>
      <c r="J66" s="118"/>
      <c r="K66" s="118"/>
      <c r="L66" s="118"/>
      <c r="M66" s="118"/>
      <c r="N66" s="118"/>
      <c r="O66" s="118"/>
      <c r="P66" s="118"/>
      <c r="Q66" s="118"/>
      <c r="R66" s="118"/>
      <c r="S66" s="6"/>
    </row>
    <row r="67" spans="1:19" x14ac:dyDescent="0.25">
      <c r="A67" s="127"/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6"/>
    </row>
    <row r="68" spans="1:19" x14ac:dyDescent="0.25">
      <c r="A68" s="127"/>
      <c r="B68" s="118"/>
      <c r="C68" s="118"/>
      <c r="D68" s="118"/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118"/>
      <c r="Q68" s="118"/>
      <c r="R68" s="118"/>
      <c r="S68" s="6"/>
    </row>
    <row r="69" spans="1:19" x14ac:dyDescent="0.25">
      <c r="A69" s="127"/>
      <c r="B69" s="118"/>
      <c r="C69" s="118"/>
      <c r="D69" s="118"/>
      <c r="E69" s="118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118"/>
      <c r="Q69" s="118"/>
      <c r="R69" s="118"/>
      <c r="S69" s="6"/>
    </row>
    <row r="70" spans="1:19" x14ac:dyDescent="0.25">
      <c r="A70" s="127"/>
      <c r="B70" s="118"/>
      <c r="C70" s="118"/>
      <c r="D70" s="118"/>
      <c r="E70" s="118"/>
      <c r="F70" s="118"/>
      <c r="G70" s="118"/>
      <c r="H70" s="118"/>
      <c r="I70" s="118"/>
      <c r="J70" s="118"/>
      <c r="K70" s="118"/>
      <c r="L70" s="118"/>
      <c r="M70" s="118"/>
      <c r="N70" s="118"/>
      <c r="O70" s="118"/>
      <c r="P70" s="118"/>
      <c r="Q70" s="118"/>
      <c r="R70" s="118"/>
      <c r="S70" s="6"/>
    </row>
    <row r="71" spans="1:19" x14ac:dyDescent="0.25">
      <c r="A71" s="127"/>
      <c r="B71" s="118"/>
      <c r="C71" s="118"/>
      <c r="D71" s="118"/>
      <c r="E71" s="118"/>
      <c r="F71" s="118"/>
      <c r="G71" s="118"/>
      <c r="H71" s="118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6"/>
    </row>
    <row r="72" spans="1:19" x14ac:dyDescent="0.25">
      <c r="A72" s="127"/>
      <c r="B72" s="118"/>
      <c r="C72" s="118"/>
      <c r="D72" s="118"/>
      <c r="E72" s="118"/>
      <c r="F72" s="118"/>
      <c r="G72" s="118"/>
      <c r="H72" s="118"/>
      <c r="I72" s="118"/>
      <c r="J72" s="118"/>
      <c r="K72" s="118"/>
      <c r="L72" s="118"/>
      <c r="M72" s="118"/>
      <c r="N72" s="118"/>
      <c r="O72" s="118"/>
      <c r="P72" s="118"/>
      <c r="Q72" s="118"/>
      <c r="R72" s="118"/>
      <c r="S72" s="6"/>
    </row>
    <row r="73" spans="1:19" x14ac:dyDescent="0.25">
      <c r="A73" s="127"/>
      <c r="B73" s="118"/>
      <c r="C73" s="118"/>
      <c r="D73" s="118"/>
      <c r="E73" s="118"/>
      <c r="F73" s="118"/>
      <c r="G73" s="118"/>
      <c r="H73" s="118"/>
      <c r="I73" s="118"/>
      <c r="J73" s="118"/>
      <c r="K73" s="118"/>
      <c r="L73" s="118"/>
      <c r="M73" s="118"/>
      <c r="N73" s="118"/>
      <c r="O73" s="118"/>
      <c r="P73" s="118"/>
      <c r="Q73" s="118"/>
      <c r="R73" s="118"/>
      <c r="S73" s="6"/>
    </row>
    <row r="74" spans="1:19" x14ac:dyDescent="0.25">
      <c r="A74" s="127"/>
      <c r="B74" s="118"/>
      <c r="C74" s="118"/>
      <c r="D74" s="118"/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6"/>
    </row>
    <row r="75" spans="1:19" x14ac:dyDescent="0.25">
      <c r="A75" s="127"/>
      <c r="B75" s="118"/>
      <c r="C75" s="118"/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6"/>
    </row>
    <row r="76" spans="1:19" x14ac:dyDescent="0.25">
      <c r="A76" s="127"/>
      <c r="B76" s="118"/>
      <c r="C76" s="118"/>
      <c r="D76" s="118"/>
      <c r="E76" s="118"/>
      <c r="F76" s="118"/>
      <c r="G76" s="118"/>
      <c r="H76" s="118"/>
      <c r="I76" s="118"/>
      <c r="J76" s="118"/>
      <c r="K76" s="118"/>
      <c r="L76" s="118"/>
      <c r="M76" s="118"/>
      <c r="N76" s="118"/>
      <c r="O76" s="118"/>
      <c r="P76" s="118"/>
      <c r="Q76" s="118"/>
      <c r="R76" s="118"/>
      <c r="S76" s="6"/>
    </row>
    <row r="77" spans="1:19" x14ac:dyDescent="0.25">
      <c r="A77" s="127"/>
      <c r="B77" s="118"/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6"/>
    </row>
    <row r="78" spans="1:19" x14ac:dyDescent="0.25">
      <c r="A78" s="127"/>
      <c r="B78" s="118"/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6"/>
    </row>
    <row r="79" spans="1:19" x14ac:dyDescent="0.25">
      <c r="A79" s="127"/>
      <c r="B79" s="118"/>
      <c r="C79" s="118"/>
      <c r="D79" s="118"/>
      <c r="E79" s="118"/>
      <c r="F79" s="118"/>
      <c r="G79" s="118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6"/>
    </row>
    <row r="80" spans="1:19" x14ac:dyDescent="0.25">
      <c r="A80" s="127"/>
      <c r="B80" s="118"/>
      <c r="C80" s="118"/>
      <c r="D80" s="118"/>
      <c r="E80" s="118"/>
      <c r="F80" s="118"/>
      <c r="G80" s="118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6"/>
    </row>
    <row r="81" spans="1:26" x14ac:dyDescent="0.25">
      <c r="A81" s="127"/>
      <c r="B81" s="118"/>
      <c r="C81" s="118"/>
      <c r="D81" s="118"/>
      <c r="E81" s="118"/>
      <c r="F81" s="118"/>
      <c r="G81" s="118"/>
      <c r="H81" s="118"/>
      <c r="I81" s="118"/>
      <c r="J81" s="118"/>
      <c r="K81" s="118"/>
      <c r="L81" s="118"/>
      <c r="M81" s="118"/>
      <c r="N81" s="118"/>
      <c r="O81" s="118"/>
      <c r="P81" s="118"/>
      <c r="Q81" s="118"/>
      <c r="R81" s="118"/>
      <c r="S81" s="6"/>
    </row>
    <row r="82" spans="1:26" x14ac:dyDescent="0.25">
      <c r="A82" s="127"/>
      <c r="B82" s="118"/>
      <c r="C82" s="118"/>
      <c r="D82" s="118"/>
      <c r="E82" s="118"/>
      <c r="F82" s="118"/>
      <c r="G82" s="118"/>
      <c r="H82" s="118"/>
      <c r="I82" s="118"/>
      <c r="J82" s="118"/>
      <c r="K82" s="118"/>
      <c r="L82" s="118"/>
      <c r="M82" s="118"/>
      <c r="N82" s="118"/>
      <c r="O82" s="118"/>
      <c r="P82" s="118"/>
      <c r="Q82" s="118"/>
      <c r="R82" s="118"/>
      <c r="S82" s="6"/>
    </row>
    <row r="83" spans="1:26" x14ac:dyDescent="0.25">
      <c r="A83" s="127"/>
      <c r="B83" s="118"/>
      <c r="C83" s="118"/>
      <c r="D83" s="118"/>
      <c r="E83" s="118"/>
      <c r="F83" s="118"/>
      <c r="G83" s="118"/>
      <c r="H83" s="118"/>
      <c r="I83" s="118"/>
      <c r="J83" s="118"/>
      <c r="K83" s="118"/>
      <c r="L83" s="118"/>
      <c r="M83" s="118"/>
      <c r="N83" s="118"/>
      <c r="O83" s="118"/>
      <c r="P83" s="118"/>
      <c r="Q83" s="118"/>
      <c r="R83" s="118"/>
      <c r="S83" s="6"/>
    </row>
    <row r="84" spans="1:26" x14ac:dyDescent="0.25">
      <c r="A84" s="127"/>
      <c r="B84" s="118"/>
      <c r="C84" s="118"/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118"/>
      <c r="Q84" s="118"/>
      <c r="R84" s="118"/>
      <c r="S84" s="6"/>
    </row>
    <row r="85" spans="1:26" x14ac:dyDescent="0.25">
      <c r="A85" s="127"/>
      <c r="B85" s="118"/>
      <c r="C85" s="118"/>
      <c r="D85" s="118"/>
      <c r="E85" s="118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118"/>
      <c r="Q85" s="118"/>
      <c r="R85" s="118"/>
      <c r="S85" s="6"/>
    </row>
    <row r="86" spans="1:26" x14ac:dyDescent="0.25">
      <c r="A86" s="127"/>
      <c r="B86" s="118"/>
      <c r="C86" s="118"/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8"/>
      <c r="Q86" s="118"/>
      <c r="R86" s="118"/>
      <c r="S86" s="6"/>
      <c r="Z86" s="30"/>
    </row>
    <row r="87" spans="1:26" x14ac:dyDescent="0.25">
      <c r="A87" s="127"/>
      <c r="B87" s="118"/>
      <c r="C87" s="118"/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118"/>
      <c r="Q87" s="118"/>
      <c r="R87" s="118"/>
      <c r="S87" s="6"/>
    </row>
    <row r="88" spans="1:26" x14ac:dyDescent="0.25">
      <c r="A88" s="127"/>
      <c r="B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6"/>
    </row>
    <row r="89" spans="1:26" x14ac:dyDescent="0.25">
      <c r="A89" s="127"/>
      <c r="B89" s="11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18"/>
      <c r="O89" s="118"/>
      <c r="P89" s="118"/>
      <c r="Q89" s="118"/>
      <c r="R89" s="118"/>
      <c r="S89" s="6"/>
    </row>
    <row r="90" spans="1:26" x14ac:dyDescent="0.25">
      <c r="A90" s="127"/>
      <c r="B90" s="118"/>
      <c r="C90" s="118"/>
      <c r="D90" s="118"/>
      <c r="E90" s="118"/>
      <c r="F90" s="118"/>
      <c r="G90" s="118"/>
      <c r="H90" s="118"/>
      <c r="I90" s="118"/>
      <c r="J90" s="118"/>
      <c r="K90" s="118"/>
      <c r="L90" s="118"/>
      <c r="M90" s="118"/>
      <c r="N90" s="118"/>
      <c r="O90" s="118"/>
      <c r="P90" s="118"/>
      <c r="Q90" s="118"/>
      <c r="R90" s="118"/>
      <c r="S90" s="76"/>
    </row>
    <row r="91" spans="1:26" x14ac:dyDescent="0.25">
      <c r="A91" s="127"/>
      <c r="B91" s="118"/>
      <c r="C91" s="118"/>
      <c r="D91" s="118"/>
      <c r="E91" s="118"/>
      <c r="F91" s="118"/>
      <c r="G91" s="118"/>
      <c r="H91" s="118"/>
      <c r="I91" s="118"/>
      <c r="J91" s="118"/>
      <c r="K91" s="118"/>
      <c r="L91" s="118"/>
      <c r="M91" s="118"/>
      <c r="N91" s="118"/>
      <c r="O91" s="118"/>
      <c r="P91" s="118"/>
      <c r="Q91" s="118"/>
      <c r="R91" s="118"/>
      <c r="S91" s="77"/>
    </row>
    <row r="92" spans="1:26" ht="15" customHeight="1" x14ac:dyDescent="0.25">
      <c r="A92" s="127"/>
      <c r="B92" s="118"/>
      <c r="C92" s="118"/>
      <c r="D92" s="118"/>
      <c r="E92" s="118"/>
      <c r="F92" s="118"/>
      <c r="G92" s="118"/>
      <c r="H92" s="118"/>
      <c r="I92" s="118"/>
      <c r="J92" s="118"/>
      <c r="K92" s="118"/>
      <c r="L92" s="118"/>
      <c r="M92" s="118"/>
      <c r="N92" s="118"/>
      <c r="O92" s="118"/>
      <c r="P92" s="118"/>
      <c r="Q92" s="118"/>
      <c r="R92" s="118"/>
      <c r="S92" s="77"/>
    </row>
    <row r="93" spans="1:26" ht="15" customHeight="1" x14ac:dyDescent="0.25">
      <c r="A93" s="14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77"/>
    </row>
    <row r="94" spans="1:26" ht="15" customHeight="1" x14ac:dyDescent="0.25">
      <c r="A94" s="14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77"/>
    </row>
    <row r="95" spans="1:26" ht="15" customHeight="1" x14ac:dyDescent="0.25">
      <c r="A95" s="80"/>
      <c r="B95" s="54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77"/>
    </row>
    <row r="96" spans="1:26" ht="15" customHeight="1" x14ac:dyDescent="0.25">
      <c r="A96" s="80"/>
      <c r="B96" s="54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77"/>
    </row>
    <row r="97" spans="1:19" ht="15" customHeight="1" x14ac:dyDescent="0.25">
      <c r="A97" s="80"/>
      <c r="B97" s="125"/>
      <c r="C97" s="125"/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77"/>
    </row>
    <row r="98" spans="1:19" ht="15" customHeight="1" x14ac:dyDescent="0.25">
      <c r="A98" s="82"/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77"/>
    </row>
    <row r="99" spans="1:19" ht="15" customHeight="1" x14ac:dyDescent="0.25">
      <c r="A99" s="128"/>
      <c r="B99" s="125"/>
      <c r="C99" s="125"/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6"/>
    </row>
    <row r="100" spans="1:19" ht="15" customHeight="1" x14ac:dyDescent="0.25">
      <c r="A100" s="128"/>
      <c r="B100" s="125"/>
      <c r="C100" s="125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6"/>
    </row>
    <row r="101" spans="1:19" ht="15" customHeight="1" x14ac:dyDescent="0.25">
      <c r="A101" s="128"/>
      <c r="B101" s="125"/>
      <c r="C101" s="125"/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6"/>
    </row>
    <row r="102" spans="1:19" ht="15" customHeight="1" x14ac:dyDescent="0.25">
      <c r="A102" s="128"/>
      <c r="B102" s="125"/>
      <c r="C102" s="125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6"/>
    </row>
    <row r="103" spans="1:19" ht="15" customHeight="1" x14ac:dyDescent="0.25">
      <c r="A103" s="128"/>
      <c r="B103" s="125"/>
      <c r="C103" s="125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6"/>
    </row>
    <row r="104" spans="1:19" ht="15" customHeight="1" x14ac:dyDescent="0.25">
      <c r="A104" s="128"/>
      <c r="B104" s="125"/>
      <c r="C104" s="125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6"/>
    </row>
    <row r="105" spans="1:19" ht="15" customHeight="1" x14ac:dyDescent="0.25">
      <c r="A105" s="128"/>
      <c r="B105" s="125"/>
      <c r="C105" s="125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6"/>
    </row>
    <row r="106" spans="1:19" ht="15" customHeight="1" x14ac:dyDescent="0.25">
      <c r="A106" s="128"/>
      <c r="B106" s="125"/>
      <c r="C106" s="125"/>
      <c r="D106" s="125"/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6"/>
    </row>
    <row r="107" spans="1:19" ht="15" customHeight="1" x14ac:dyDescent="0.25">
      <c r="A107" s="128"/>
      <c r="B107" s="125"/>
      <c r="C107" s="125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6"/>
    </row>
    <row r="108" spans="1:19" ht="15" customHeight="1" x14ac:dyDescent="0.25">
      <c r="A108" s="128"/>
      <c r="B108" s="125"/>
      <c r="C108" s="125"/>
      <c r="D108" s="125"/>
      <c r="E108" s="125"/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6"/>
    </row>
    <row r="109" spans="1:19" ht="15" customHeight="1" x14ac:dyDescent="0.25">
      <c r="A109" s="128"/>
      <c r="B109" s="125"/>
      <c r="C109" s="125"/>
      <c r="D109" s="125"/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6"/>
    </row>
    <row r="110" spans="1:19" ht="15" customHeight="1" x14ac:dyDescent="0.25">
      <c r="A110" s="128"/>
      <c r="B110" s="125"/>
      <c r="C110" s="125"/>
      <c r="D110" s="125"/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6"/>
    </row>
    <row r="111" spans="1:19" ht="15" customHeight="1" x14ac:dyDescent="0.25">
      <c r="A111" s="128"/>
      <c r="B111" s="125"/>
      <c r="C111" s="125"/>
      <c r="D111" s="125"/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6"/>
    </row>
    <row r="112" spans="1:19" ht="15" customHeight="1" x14ac:dyDescent="0.25">
      <c r="A112" s="128"/>
      <c r="B112" s="125"/>
      <c r="C112" s="125"/>
      <c r="D112" s="125"/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6"/>
    </row>
    <row r="113" spans="1:19" ht="15" customHeight="1" x14ac:dyDescent="0.25">
      <c r="A113" s="128"/>
      <c r="B113" s="125"/>
      <c r="C113" s="125"/>
      <c r="D113" s="125"/>
      <c r="E113" s="125"/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6"/>
    </row>
    <row r="114" spans="1:19" ht="15" customHeight="1" x14ac:dyDescent="0.25">
      <c r="A114" s="128"/>
      <c r="B114" s="125"/>
      <c r="C114" s="125"/>
      <c r="D114" s="125"/>
      <c r="E114" s="125"/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6"/>
    </row>
    <row r="115" spans="1:19" ht="15" customHeight="1" x14ac:dyDescent="0.25">
      <c r="A115" s="128"/>
      <c r="B115" s="125"/>
      <c r="C115" s="125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6"/>
    </row>
    <row r="116" spans="1:19" ht="15" customHeight="1" x14ac:dyDescent="0.25">
      <c r="A116" s="128"/>
      <c r="B116" s="125"/>
      <c r="C116" s="125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6"/>
    </row>
    <row r="117" spans="1:19" ht="15" customHeight="1" x14ac:dyDescent="0.25">
      <c r="A117" s="128"/>
      <c r="B117" s="125"/>
      <c r="C117" s="125"/>
      <c r="D117" s="125"/>
      <c r="E117" s="125"/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6"/>
    </row>
    <row r="118" spans="1:19" ht="15" customHeight="1" x14ac:dyDescent="0.25">
      <c r="A118" s="128"/>
      <c r="B118" s="125"/>
      <c r="C118" s="125"/>
      <c r="D118" s="125"/>
      <c r="E118" s="125"/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6"/>
    </row>
    <row r="119" spans="1:19" ht="15" customHeight="1" x14ac:dyDescent="0.25">
      <c r="A119" s="128"/>
      <c r="B119" s="125"/>
      <c r="C119" s="125"/>
      <c r="D119" s="125"/>
      <c r="E119" s="125"/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6"/>
    </row>
    <row r="120" spans="1:19" ht="15" customHeight="1" x14ac:dyDescent="0.25">
      <c r="A120" s="128"/>
      <c r="B120" s="125"/>
      <c r="C120" s="125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6"/>
    </row>
    <row r="121" spans="1:19" ht="15" customHeight="1" x14ac:dyDescent="0.25">
      <c r="A121" s="128"/>
      <c r="B121" s="125"/>
      <c r="C121" s="125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6"/>
    </row>
    <row r="122" spans="1:19" ht="15" customHeight="1" x14ac:dyDescent="0.25">
      <c r="A122" s="128"/>
      <c r="B122" s="125"/>
      <c r="C122" s="125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6"/>
    </row>
    <row r="123" spans="1:19" ht="15" customHeight="1" x14ac:dyDescent="0.25">
      <c r="A123" s="128"/>
      <c r="B123" s="125"/>
      <c r="C123" s="125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6"/>
    </row>
    <row r="124" spans="1:19" ht="15" customHeight="1" x14ac:dyDescent="0.25">
      <c r="A124" s="128"/>
      <c r="B124" s="125"/>
      <c r="C124" s="125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6"/>
    </row>
    <row r="125" spans="1:19" ht="15" customHeight="1" x14ac:dyDescent="0.25">
      <c r="A125" s="128"/>
      <c r="B125" s="125"/>
      <c r="C125" s="125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6"/>
    </row>
    <row r="126" spans="1:19" ht="15" customHeight="1" x14ac:dyDescent="0.25">
      <c r="A126" s="128"/>
      <c r="B126" s="125"/>
      <c r="C126" s="125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6"/>
    </row>
    <row r="127" spans="1:19" ht="15" customHeight="1" x14ac:dyDescent="0.25">
      <c r="A127" s="128"/>
      <c r="B127" s="125"/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6"/>
    </row>
    <row r="128" spans="1:19" ht="15" customHeight="1" x14ac:dyDescent="0.25">
      <c r="A128" s="128"/>
      <c r="B128" s="125"/>
      <c r="C128" s="125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6"/>
    </row>
    <row r="129" spans="1:27" ht="15" customHeight="1" x14ac:dyDescent="0.25">
      <c r="A129" s="128"/>
      <c r="B129" s="125"/>
      <c r="C129" s="125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6"/>
    </row>
    <row r="130" spans="1:27" ht="15" customHeight="1" x14ac:dyDescent="0.25">
      <c r="A130" s="128"/>
      <c r="B130" s="125"/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6"/>
    </row>
    <row r="131" spans="1:27" ht="15" customHeight="1" x14ac:dyDescent="0.25">
      <c r="A131" s="128"/>
      <c r="B131" s="125"/>
      <c r="C131" s="125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6"/>
    </row>
    <row r="132" spans="1:27" ht="15" customHeight="1" x14ac:dyDescent="0.25">
      <c r="A132" s="5"/>
      <c r="B132" s="125"/>
      <c r="C132" s="125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6"/>
    </row>
    <row r="133" spans="1:27" ht="15" customHeight="1" x14ac:dyDescent="0.25">
      <c r="A133" s="5"/>
      <c r="B133" s="125"/>
      <c r="C133" s="125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6"/>
    </row>
    <row r="134" spans="1:27" ht="15" customHeight="1" x14ac:dyDescent="0.25">
      <c r="A134" s="5"/>
      <c r="B134" s="125"/>
      <c r="C134" s="125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6"/>
    </row>
    <row r="135" spans="1:27" ht="15" customHeight="1" x14ac:dyDescent="0.25">
      <c r="A135" s="5"/>
      <c r="B135" s="125"/>
      <c r="C135" s="125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6"/>
    </row>
    <row r="136" spans="1:27" x14ac:dyDescent="0.25">
      <c r="A136" s="15"/>
      <c r="S136" s="6"/>
    </row>
    <row r="137" spans="1:27" ht="15" customHeight="1" x14ac:dyDescent="0.25">
      <c r="A137" s="14"/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6"/>
    </row>
    <row r="138" spans="1:27" ht="15" customHeight="1" x14ac:dyDescent="0.25">
      <c r="A138" s="14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6"/>
    </row>
    <row r="139" spans="1:27" ht="15" customHeight="1" x14ac:dyDescent="0.25">
      <c r="A139" s="14"/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6"/>
    </row>
    <row r="140" spans="1:27" ht="15" customHeight="1" x14ac:dyDescent="0.25">
      <c r="A140" s="80"/>
      <c r="B140" s="54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76"/>
    </row>
    <row r="141" spans="1:27" ht="15" customHeight="1" x14ac:dyDescent="0.25">
      <c r="A141" s="80"/>
      <c r="B141" s="54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76"/>
    </row>
    <row r="142" spans="1:27" ht="15" customHeight="1" x14ac:dyDescent="0.25">
      <c r="A142" s="83"/>
      <c r="B142" s="59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78"/>
    </row>
    <row r="143" spans="1:27" x14ac:dyDescent="0.25">
      <c r="G143" s="30"/>
      <c r="AA143" s="2"/>
    </row>
    <row r="144" spans="1:27" ht="15" customHeight="1" x14ac:dyDescent="0.25">
      <c r="G144" s="30"/>
      <c r="AA144" s="2"/>
    </row>
    <row r="145" spans="7:27" x14ac:dyDescent="0.25">
      <c r="G145" s="30"/>
      <c r="AA145" s="2"/>
    </row>
    <row r="146" spans="7:27" x14ac:dyDescent="0.25">
      <c r="G146" s="30"/>
      <c r="AA146" s="2"/>
    </row>
    <row r="147" spans="7:27" x14ac:dyDescent="0.25">
      <c r="G147" s="30"/>
      <c r="AA147" s="2"/>
    </row>
    <row r="148" spans="7:27" x14ac:dyDescent="0.25">
      <c r="G148" s="30"/>
      <c r="AA148" s="2"/>
    </row>
    <row r="149" spans="7:27" x14ac:dyDescent="0.25">
      <c r="G149" s="30"/>
      <c r="AA149" s="2"/>
    </row>
    <row r="150" spans="7:27" x14ac:dyDescent="0.25">
      <c r="G150" s="30"/>
      <c r="AA150" s="2"/>
    </row>
    <row r="151" spans="7:27" x14ac:dyDescent="0.25">
      <c r="G151" s="30"/>
      <c r="AA151" s="2"/>
    </row>
    <row r="152" spans="7:27" x14ac:dyDescent="0.25">
      <c r="G152" s="30"/>
      <c r="AA152" s="2"/>
    </row>
    <row r="153" spans="7:27" x14ac:dyDescent="0.25">
      <c r="G153" s="30"/>
      <c r="AA153" s="2"/>
    </row>
    <row r="154" spans="7:27" x14ac:dyDescent="0.25">
      <c r="G154" s="30"/>
      <c r="AA154" s="2"/>
    </row>
    <row r="155" spans="7:27" x14ac:dyDescent="0.25">
      <c r="G155" s="30"/>
      <c r="AA155" s="2"/>
    </row>
    <row r="156" spans="7:27" x14ac:dyDescent="0.25">
      <c r="G156" s="30"/>
      <c r="AA156" s="2"/>
    </row>
    <row r="157" spans="7:27" x14ac:dyDescent="0.25">
      <c r="G157" s="30"/>
      <c r="AA157" s="2"/>
    </row>
    <row r="158" spans="7:27" x14ac:dyDescent="0.25">
      <c r="G158" s="30"/>
      <c r="AA158" s="2"/>
    </row>
    <row r="159" spans="7:27" x14ac:dyDescent="0.25">
      <c r="G159" s="30"/>
      <c r="AA159" s="2"/>
    </row>
    <row r="160" spans="7:27" x14ac:dyDescent="0.25">
      <c r="G160" s="30"/>
      <c r="AA160" s="2"/>
    </row>
    <row r="161" spans="7:27" x14ac:dyDescent="0.25">
      <c r="G161" s="30"/>
      <c r="AA161" s="2"/>
    </row>
    <row r="162" spans="7:27" x14ac:dyDescent="0.25">
      <c r="G162" s="30"/>
      <c r="AA162" s="2"/>
    </row>
    <row r="163" spans="7:27" x14ac:dyDescent="0.25">
      <c r="G163" s="30"/>
      <c r="AA163" s="2"/>
    </row>
    <row r="164" spans="7:27" x14ac:dyDescent="0.25">
      <c r="G164" s="30"/>
      <c r="AA164" s="2"/>
    </row>
    <row r="165" spans="7:27" x14ac:dyDescent="0.25">
      <c r="G165" s="30"/>
      <c r="AA165" s="2"/>
    </row>
    <row r="166" spans="7:27" x14ac:dyDescent="0.25">
      <c r="G166" s="30"/>
      <c r="AA166" s="2"/>
    </row>
    <row r="167" spans="7:27" x14ac:dyDescent="0.25">
      <c r="G167" s="30"/>
      <c r="AA167" s="2"/>
    </row>
    <row r="168" spans="7:27" x14ac:dyDescent="0.25">
      <c r="G168" s="30"/>
      <c r="AA168" s="2"/>
    </row>
    <row r="169" spans="7:27" x14ac:dyDescent="0.25">
      <c r="G169" s="30"/>
      <c r="AA169" s="2"/>
    </row>
    <row r="170" spans="7:27" x14ac:dyDescent="0.25">
      <c r="G170" s="30"/>
      <c r="AA170" s="2"/>
    </row>
    <row r="171" spans="7:27" x14ac:dyDescent="0.25">
      <c r="G171" s="30"/>
      <c r="AA171" s="2"/>
    </row>
    <row r="172" spans="7:27" x14ac:dyDescent="0.25">
      <c r="G172" s="30"/>
      <c r="AA172" s="2"/>
    </row>
    <row r="173" spans="7:27" x14ac:dyDescent="0.25">
      <c r="G173" s="30"/>
      <c r="AA173" s="2"/>
    </row>
    <row r="174" spans="7:27" x14ac:dyDescent="0.25">
      <c r="G174" s="30"/>
      <c r="AA174" s="2"/>
    </row>
    <row r="175" spans="7:27" x14ac:dyDescent="0.25">
      <c r="G175" s="30"/>
      <c r="AA175" s="2"/>
    </row>
    <row r="176" spans="7:27" x14ac:dyDescent="0.25">
      <c r="G176" s="30"/>
      <c r="AA176" s="2"/>
    </row>
    <row r="177" spans="7:27" x14ac:dyDescent="0.25">
      <c r="G177" s="30"/>
      <c r="AA177" s="2"/>
    </row>
    <row r="178" spans="7:27" x14ac:dyDescent="0.25">
      <c r="G178" s="30"/>
      <c r="AA178" s="2"/>
    </row>
    <row r="179" spans="7:27" x14ac:dyDescent="0.25">
      <c r="G179" s="30"/>
      <c r="AA179" s="2"/>
    </row>
    <row r="180" spans="7:27" x14ac:dyDescent="0.25">
      <c r="G180" s="30"/>
      <c r="AA180" s="2"/>
    </row>
    <row r="181" spans="7:27" x14ac:dyDescent="0.25">
      <c r="G181" s="30"/>
      <c r="AA181" s="2"/>
    </row>
    <row r="182" spans="7:27" ht="15" customHeight="1" x14ac:dyDescent="0.25">
      <c r="G182" s="30"/>
      <c r="AA182" s="2"/>
    </row>
    <row r="183" spans="7:27" ht="15" customHeight="1" x14ac:dyDescent="0.25">
      <c r="G183" s="30"/>
      <c r="AA183" s="2"/>
    </row>
    <row r="184" spans="7:27" ht="15" customHeight="1" x14ac:dyDescent="0.25">
      <c r="G184" s="30"/>
      <c r="AA184" s="2"/>
    </row>
    <row r="185" spans="7:27" ht="15" customHeight="1" x14ac:dyDescent="0.25">
      <c r="G185" s="30"/>
      <c r="AA185" s="2"/>
    </row>
    <row r="186" spans="7:27" ht="15" customHeight="1" x14ac:dyDescent="0.25">
      <c r="G186" s="30"/>
      <c r="AA186" s="2"/>
    </row>
    <row r="187" spans="7:27" ht="15" customHeight="1" x14ac:dyDescent="0.25">
      <c r="G187" s="30"/>
      <c r="AA187" s="2"/>
    </row>
    <row r="188" spans="7:27" x14ac:dyDescent="0.25">
      <c r="G188" s="30"/>
      <c r="AA188" s="2"/>
    </row>
    <row r="189" spans="7:27" ht="15" customHeight="1" x14ac:dyDescent="0.25">
      <c r="G189" s="30"/>
      <c r="AA189" s="2"/>
    </row>
    <row r="190" spans="7:27" x14ac:dyDescent="0.25">
      <c r="G190" s="30"/>
      <c r="AA190" s="2"/>
    </row>
    <row r="191" spans="7:27" x14ac:dyDescent="0.25">
      <c r="G191" s="30"/>
      <c r="AA191" s="2"/>
    </row>
    <row r="192" spans="7:27" x14ac:dyDescent="0.25">
      <c r="G192" s="30"/>
      <c r="AA192" s="2"/>
    </row>
    <row r="193" spans="7:27" x14ac:dyDescent="0.25">
      <c r="G193" s="30"/>
      <c r="AA193" s="2"/>
    </row>
    <row r="194" spans="7:27" x14ac:dyDescent="0.25">
      <c r="G194" s="30"/>
      <c r="AA194" s="2"/>
    </row>
    <row r="195" spans="7:27" x14ac:dyDescent="0.25">
      <c r="G195" s="30"/>
      <c r="AA195" s="2"/>
    </row>
    <row r="196" spans="7:27" x14ac:dyDescent="0.25">
      <c r="G196" s="30"/>
      <c r="AA196" s="2"/>
    </row>
    <row r="197" spans="7:27" x14ac:dyDescent="0.25">
      <c r="G197" s="30"/>
      <c r="AA197" s="2"/>
    </row>
    <row r="198" spans="7:27" x14ac:dyDescent="0.25">
      <c r="G198" s="30"/>
      <c r="AA198" s="2"/>
    </row>
    <row r="199" spans="7:27" x14ac:dyDescent="0.25">
      <c r="G199" s="30"/>
      <c r="AA199" s="2"/>
    </row>
    <row r="200" spans="7:27" x14ac:dyDescent="0.25">
      <c r="G200" s="30"/>
      <c r="AA200" s="2"/>
    </row>
    <row r="201" spans="7:27" x14ac:dyDescent="0.25">
      <c r="G201" s="30"/>
      <c r="AA201" s="2"/>
    </row>
    <row r="202" spans="7:27" x14ac:dyDescent="0.25">
      <c r="G202" s="30"/>
      <c r="AA202" s="2"/>
    </row>
    <row r="203" spans="7:27" x14ac:dyDescent="0.25">
      <c r="G203" s="30"/>
      <c r="AA203" s="2"/>
    </row>
    <row r="204" spans="7:27" x14ac:dyDescent="0.25">
      <c r="G204" s="30"/>
      <c r="AA204" s="2"/>
    </row>
    <row r="205" spans="7:27" x14ac:dyDescent="0.25">
      <c r="G205" s="30"/>
      <c r="AA205" s="2"/>
    </row>
    <row r="206" spans="7:27" x14ac:dyDescent="0.25">
      <c r="G206" s="30"/>
      <c r="AA206" s="2"/>
    </row>
    <row r="207" spans="7:27" x14ac:dyDescent="0.25">
      <c r="G207" s="30"/>
      <c r="AA207" s="2"/>
    </row>
    <row r="208" spans="7:27" x14ac:dyDescent="0.25">
      <c r="G208" s="30"/>
      <c r="AA208" s="2"/>
    </row>
    <row r="209" spans="7:27" x14ac:dyDescent="0.25">
      <c r="G209" s="30"/>
      <c r="AA209" s="2"/>
    </row>
    <row r="210" spans="7:27" x14ac:dyDescent="0.25">
      <c r="G210" s="30"/>
      <c r="AA210" s="2"/>
    </row>
    <row r="211" spans="7:27" x14ac:dyDescent="0.25">
      <c r="G211" s="30"/>
      <c r="AA211" s="2"/>
    </row>
    <row r="212" spans="7:27" x14ac:dyDescent="0.25">
      <c r="G212" s="30"/>
      <c r="AA212" s="2"/>
    </row>
    <row r="213" spans="7:27" x14ac:dyDescent="0.25">
      <c r="G213" s="30"/>
      <c r="AA213" s="2"/>
    </row>
    <row r="214" spans="7:27" x14ac:dyDescent="0.25">
      <c r="G214" s="30"/>
      <c r="AA214" s="2"/>
    </row>
    <row r="215" spans="7:27" x14ac:dyDescent="0.25">
      <c r="G215" s="30"/>
      <c r="AA215" s="2"/>
    </row>
    <row r="216" spans="7:27" x14ac:dyDescent="0.25">
      <c r="G216" s="30"/>
      <c r="AA216" s="2"/>
    </row>
    <row r="217" spans="7:27" x14ac:dyDescent="0.25">
      <c r="G217" s="30"/>
      <c r="AA217" s="2"/>
    </row>
    <row r="218" spans="7:27" x14ac:dyDescent="0.25">
      <c r="G218" s="30"/>
      <c r="AA218" s="2"/>
    </row>
    <row r="219" spans="7:27" x14ac:dyDescent="0.25">
      <c r="G219" s="30"/>
      <c r="AA219" s="2"/>
    </row>
    <row r="220" spans="7:27" x14ac:dyDescent="0.25">
      <c r="G220" s="30"/>
      <c r="AA220" s="2"/>
    </row>
    <row r="221" spans="7:27" x14ac:dyDescent="0.25">
      <c r="G221" s="30"/>
      <c r="AA221" s="2"/>
    </row>
    <row r="222" spans="7:27" x14ac:dyDescent="0.25">
      <c r="G222" s="30"/>
      <c r="AA222" s="2"/>
    </row>
    <row r="223" spans="7:27" x14ac:dyDescent="0.25">
      <c r="G223" s="30"/>
      <c r="AA223" s="2"/>
    </row>
    <row r="224" spans="7:27" x14ac:dyDescent="0.25">
      <c r="G224" s="30"/>
      <c r="AA224" s="2"/>
    </row>
    <row r="225" spans="7:27" x14ac:dyDescent="0.25">
      <c r="G225" s="30"/>
      <c r="AA225" s="2"/>
    </row>
    <row r="226" spans="7:27" x14ac:dyDescent="0.25">
      <c r="G226" s="30"/>
      <c r="AA226" s="2"/>
    </row>
    <row r="227" spans="7:27" ht="15" customHeight="1" x14ac:dyDescent="0.25">
      <c r="G227" s="30"/>
      <c r="AA227" s="2"/>
    </row>
    <row r="228" spans="7:27" ht="15" customHeight="1" x14ac:dyDescent="0.25">
      <c r="G228" s="30"/>
      <c r="AA228" s="2"/>
    </row>
    <row r="229" spans="7:27" ht="15" customHeight="1" x14ac:dyDescent="0.25">
      <c r="G229" s="30"/>
      <c r="AA229" s="2"/>
    </row>
    <row r="230" spans="7:27" ht="15" customHeight="1" x14ac:dyDescent="0.25">
      <c r="G230" s="30"/>
      <c r="AA230" s="2"/>
    </row>
    <row r="231" spans="7:27" ht="15" customHeight="1" x14ac:dyDescent="0.25">
      <c r="G231" s="30"/>
      <c r="AA231" s="2"/>
    </row>
    <row r="232" spans="7:27" ht="15" customHeight="1" x14ac:dyDescent="0.25">
      <c r="G232" s="30"/>
      <c r="AA232" s="2"/>
    </row>
    <row r="233" spans="7:27" x14ac:dyDescent="0.25">
      <c r="G233" s="30"/>
      <c r="AA233" s="2"/>
    </row>
    <row r="234" spans="7:27" ht="15" customHeight="1" x14ac:dyDescent="0.25">
      <c r="G234" s="30"/>
      <c r="AA234" s="2"/>
    </row>
    <row r="235" spans="7:27" x14ac:dyDescent="0.25">
      <c r="G235" s="30"/>
      <c r="AA235" s="2"/>
    </row>
    <row r="236" spans="7:27" x14ac:dyDescent="0.25">
      <c r="G236" s="30"/>
      <c r="AA236" s="2"/>
    </row>
    <row r="237" spans="7:27" x14ac:dyDescent="0.25">
      <c r="G237" s="30"/>
      <c r="AA237" s="2"/>
    </row>
    <row r="238" spans="7:27" x14ac:dyDescent="0.25">
      <c r="G238" s="30"/>
      <c r="AA238" s="2"/>
    </row>
    <row r="239" spans="7:27" x14ac:dyDescent="0.25">
      <c r="G239" s="30"/>
      <c r="AA239" s="2"/>
    </row>
    <row r="240" spans="7:27" x14ac:dyDescent="0.25">
      <c r="G240" s="30"/>
      <c r="AA240" s="2"/>
    </row>
    <row r="241" spans="7:27" x14ac:dyDescent="0.25">
      <c r="G241" s="30"/>
      <c r="AA241" s="2"/>
    </row>
    <row r="242" spans="7:27" x14ac:dyDescent="0.25">
      <c r="G242" s="30"/>
      <c r="AA242" s="2"/>
    </row>
    <row r="243" spans="7:27" x14ac:dyDescent="0.25">
      <c r="G243" s="30"/>
      <c r="AA243" s="2"/>
    </row>
    <row r="244" spans="7:27" x14ac:dyDescent="0.25">
      <c r="G244" s="30"/>
      <c r="AA244" s="2"/>
    </row>
    <row r="245" spans="7:27" x14ac:dyDescent="0.25">
      <c r="G245" s="30"/>
      <c r="AA245" s="2"/>
    </row>
    <row r="246" spans="7:27" x14ac:dyDescent="0.25">
      <c r="G246" s="30"/>
      <c r="AA246" s="2"/>
    </row>
    <row r="247" spans="7:27" x14ac:dyDescent="0.25">
      <c r="G247" s="30"/>
      <c r="AA247" s="2"/>
    </row>
    <row r="248" spans="7:27" x14ac:dyDescent="0.25">
      <c r="G248" s="30"/>
      <c r="AA248" s="2"/>
    </row>
    <row r="249" spans="7:27" x14ac:dyDescent="0.25">
      <c r="G249" s="30"/>
      <c r="AA249" s="2"/>
    </row>
    <row r="250" spans="7:27" x14ac:dyDescent="0.25">
      <c r="G250" s="30"/>
      <c r="AA250" s="2"/>
    </row>
    <row r="251" spans="7:27" x14ac:dyDescent="0.25">
      <c r="G251" s="30"/>
      <c r="AA251" s="2"/>
    </row>
    <row r="252" spans="7:27" x14ac:dyDescent="0.25">
      <c r="G252" s="30"/>
      <c r="AA252" s="2"/>
    </row>
    <row r="253" spans="7:27" x14ac:dyDescent="0.25">
      <c r="G253" s="30"/>
      <c r="AA253" s="2"/>
    </row>
    <row r="254" spans="7:27" x14ac:dyDescent="0.25">
      <c r="G254" s="30"/>
      <c r="AA254" s="2"/>
    </row>
    <row r="255" spans="7:27" x14ac:dyDescent="0.25">
      <c r="G255" s="30"/>
      <c r="AA255" s="2"/>
    </row>
    <row r="256" spans="7:27" x14ac:dyDescent="0.25">
      <c r="G256" s="30"/>
      <c r="AA256" s="2"/>
    </row>
    <row r="257" spans="7:27" x14ac:dyDescent="0.25">
      <c r="G257" s="30"/>
      <c r="AA257" s="2"/>
    </row>
    <row r="258" spans="7:27" x14ac:dyDescent="0.25">
      <c r="G258" s="30"/>
      <c r="AA258" s="2"/>
    </row>
    <row r="259" spans="7:27" x14ac:dyDescent="0.25">
      <c r="G259" s="30"/>
      <c r="AA259" s="2"/>
    </row>
    <row r="260" spans="7:27" x14ac:dyDescent="0.25">
      <c r="G260" s="30"/>
      <c r="AA260" s="2"/>
    </row>
    <row r="261" spans="7:27" x14ac:dyDescent="0.25">
      <c r="G261" s="30"/>
      <c r="AA261" s="2"/>
    </row>
    <row r="262" spans="7:27" x14ac:dyDescent="0.25">
      <c r="G262" s="30"/>
      <c r="AA262" s="2"/>
    </row>
    <row r="263" spans="7:27" x14ac:dyDescent="0.25">
      <c r="G263" s="30"/>
      <c r="AA263" s="2"/>
    </row>
    <row r="264" spans="7:27" x14ac:dyDescent="0.25">
      <c r="G264" s="30"/>
      <c r="AA264" s="2"/>
    </row>
    <row r="265" spans="7:27" x14ac:dyDescent="0.25">
      <c r="G265" s="30"/>
      <c r="AA265" s="2"/>
    </row>
    <row r="266" spans="7:27" x14ac:dyDescent="0.25">
      <c r="G266" s="30"/>
      <c r="AA266" s="2"/>
    </row>
    <row r="267" spans="7:27" x14ac:dyDescent="0.25">
      <c r="G267" s="30"/>
      <c r="AA267" s="2"/>
    </row>
    <row r="268" spans="7:27" x14ac:dyDescent="0.25">
      <c r="G268" s="30"/>
      <c r="AA268" s="2"/>
    </row>
    <row r="269" spans="7:27" x14ac:dyDescent="0.25">
      <c r="G269" s="30"/>
      <c r="AA269" s="2"/>
    </row>
    <row r="270" spans="7:27" x14ac:dyDescent="0.25">
      <c r="G270" s="30"/>
      <c r="AA270" s="2"/>
    </row>
    <row r="271" spans="7:27" x14ac:dyDescent="0.25">
      <c r="G271" s="30"/>
      <c r="AA271" s="2"/>
    </row>
    <row r="272" spans="7:27" x14ac:dyDescent="0.25">
      <c r="G272" s="30"/>
      <c r="AA272" s="2"/>
    </row>
    <row r="273" spans="7:27" x14ac:dyDescent="0.25">
      <c r="G273" s="30"/>
      <c r="AA273" s="2"/>
    </row>
  </sheetData>
  <mergeCells count="12">
    <mergeCell ref="B11:R49"/>
    <mergeCell ref="A54:A92"/>
    <mergeCell ref="B54:R92"/>
    <mergeCell ref="B97:R135"/>
    <mergeCell ref="A99:A131"/>
    <mergeCell ref="E1:O3"/>
    <mergeCell ref="E4:E5"/>
    <mergeCell ref="F4:O5"/>
    <mergeCell ref="E6:E7"/>
    <mergeCell ref="F6:O7"/>
    <mergeCell ref="E8:E9"/>
    <mergeCell ref="F8:O9"/>
  </mergeCells>
  <pageMargins left="0.19685039370078741" right="0.19685039370078741" top="0.19685039370078741" bottom="0.19685039370078741" header="0" footer="0.35433070866141736"/>
  <pageSetup paperSize="9" scale="39" fitToHeight="3" orientation="portrait" horizontalDpi="1200" verticalDpi="1200" r:id="rId1"/>
  <headerFooter alignWithMargins="0">
    <oddFooter xml:space="preserve">&amp;C&amp;18Tooshop | M. Santos | &amp;D&amp;R&amp;18Página &amp;P de &amp;N         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273"/>
  <sheetViews>
    <sheetView view="pageBreakPreview" topLeftCell="A10" zoomScale="37" zoomScaleNormal="70" zoomScaleSheetLayoutView="37" workbookViewId="0">
      <selection activeCell="Z101" sqref="Z101"/>
    </sheetView>
  </sheetViews>
  <sheetFormatPr defaultRowHeight="15" x14ac:dyDescent="0.25"/>
  <cols>
    <col min="1" max="1" width="4.7109375" style="2" customWidth="1"/>
    <col min="2" max="2" width="9.140625" style="2"/>
    <col min="3" max="4" width="15.7109375" style="2" customWidth="1"/>
    <col min="5" max="5" width="30.7109375" style="2" customWidth="1"/>
    <col min="6" max="6" width="18.7109375" style="2" customWidth="1"/>
    <col min="7" max="13" width="9.140625" style="2"/>
    <col min="14" max="14" width="25.7109375" style="2" customWidth="1"/>
    <col min="15" max="15" width="30.7109375" style="2" customWidth="1"/>
    <col min="16" max="17" width="15.7109375" style="2" customWidth="1"/>
    <col min="18" max="18" width="9.140625" style="2" customWidth="1"/>
    <col min="19" max="19" width="4.5703125" style="2" customWidth="1"/>
    <col min="20" max="20" width="50.140625" style="2" customWidth="1"/>
    <col min="21" max="21" width="6.85546875" style="2" customWidth="1"/>
    <col min="22" max="22" width="6.5703125" style="2" customWidth="1"/>
    <col min="23" max="23" width="6.7109375" style="2" customWidth="1"/>
    <col min="24" max="24" width="7.28515625" style="2" customWidth="1"/>
    <col min="25" max="25" width="9.140625" style="2"/>
    <col min="26" max="26" width="39" style="2" bestFit="1" customWidth="1"/>
    <col min="27" max="27" width="13.5703125" style="30" bestFit="1" customWidth="1"/>
    <col min="28" max="28" width="10.42578125" style="2" bestFit="1" customWidth="1"/>
    <col min="29" max="29" width="19.42578125" style="2" bestFit="1" customWidth="1"/>
    <col min="30" max="30" width="5.42578125" style="2" bestFit="1" customWidth="1"/>
    <col min="31" max="16384" width="9.140625" style="2"/>
  </cols>
  <sheetData>
    <row r="1" spans="1:30" ht="15" customHeight="1" x14ac:dyDescent="0.25">
      <c r="A1" s="13"/>
      <c r="B1" s="3"/>
      <c r="C1" s="3"/>
      <c r="D1" s="3"/>
      <c r="E1" s="116" t="s">
        <v>3</v>
      </c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3"/>
      <c r="Q1" s="3"/>
      <c r="R1" s="3"/>
      <c r="S1" s="4"/>
      <c r="T1" s="10"/>
      <c r="Z1" s="49" t="s">
        <v>4</v>
      </c>
      <c r="AA1" s="88"/>
      <c r="AB1" s="102"/>
      <c r="AC1" s="103"/>
      <c r="AD1" s="104"/>
    </row>
    <row r="2" spans="1:30" ht="15" customHeight="1" x14ac:dyDescent="0.25">
      <c r="A2" s="14"/>
      <c r="B2" s="56"/>
      <c r="C2" s="56"/>
      <c r="D2" s="56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58"/>
      <c r="Q2" s="56"/>
      <c r="R2" s="56"/>
      <c r="S2" s="6"/>
      <c r="Z2" s="50" t="s">
        <v>477</v>
      </c>
      <c r="AA2" s="89">
        <v>9</v>
      </c>
      <c r="AB2" s="95"/>
      <c r="AC2" s="95"/>
      <c r="AD2" s="105"/>
    </row>
    <row r="3" spans="1:30" ht="15" customHeight="1" x14ac:dyDescent="0.25">
      <c r="A3" s="14"/>
      <c r="B3" s="56"/>
      <c r="C3" s="56"/>
      <c r="D3" s="56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58"/>
      <c r="Q3" s="56"/>
      <c r="R3" s="56"/>
      <c r="S3" s="6"/>
      <c r="Z3" s="50" t="s">
        <v>476</v>
      </c>
      <c r="AA3" s="89">
        <v>2</v>
      </c>
      <c r="AB3" s="95"/>
      <c r="AC3" s="95"/>
      <c r="AD3" s="105"/>
    </row>
    <row r="4" spans="1:30" ht="15" customHeight="1" x14ac:dyDescent="0.25">
      <c r="A4" s="14"/>
      <c r="B4" s="56"/>
      <c r="C4" s="56"/>
      <c r="D4" s="56"/>
      <c r="E4" s="129" t="str">
        <f>"Projeto: "</f>
        <v xml:space="preserve">Projeto: </v>
      </c>
      <c r="F4" s="131" t="str">
        <f>T7</f>
        <v>VW483_CN - Passat CC</v>
      </c>
      <c r="G4" s="131"/>
      <c r="H4" s="131"/>
      <c r="I4" s="131"/>
      <c r="J4" s="131"/>
      <c r="K4" s="131"/>
      <c r="L4" s="131"/>
      <c r="M4" s="131"/>
      <c r="N4" s="131"/>
      <c r="O4" s="132"/>
      <c r="P4" s="58"/>
      <c r="Q4" s="56"/>
      <c r="R4" s="56"/>
      <c r="S4" s="6"/>
      <c r="Z4" s="50" t="s">
        <v>218</v>
      </c>
      <c r="AA4" s="89">
        <v>1</v>
      </c>
      <c r="AB4" s="95"/>
      <c r="AC4" s="95"/>
      <c r="AD4" s="105"/>
    </row>
    <row r="5" spans="1:30" ht="15" customHeight="1" x14ac:dyDescent="0.25">
      <c r="A5" s="80"/>
      <c r="B5" s="54"/>
      <c r="C5" s="55"/>
      <c r="D5" s="55"/>
      <c r="E5" s="130"/>
      <c r="F5" s="133"/>
      <c r="G5" s="133"/>
      <c r="H5" s="133"/>
      <c r="I5" s="133"/>
      <c r="J5" s="133"/>
      <c r="K5" s="133"/>
      <c r="L5" s="133"/>
      <c r="M5" s="133"/>
      <c r="N5" s="133"/>
      <c r="O5" s="134"/>
      <c r="P5" s="58"/>
      <c r="Q5" s="55"/>
      <c r="R5" s="55"/>
      <c r="S5" s="6"/>
      <c r="Z5" s="50" t="s">
        <v>475</v>
      </c>
      <c r="AA5" s="89">
        <v>1</v>
      </c>
      <c r="AB5" s="95"/>
      <c r="AC5" s="95"/>
      <c r="AD5" s="105"/>
    </row>
    <row r="6" spans="1:30" ht="15" customHeight="1" x14ac:dyDescent="0.25">
      <c r="A6" s="80"/>
      <c r="B6" s="54"/>
      <c r="C6" s="55"/>
      <c r="D6" s="55"/>
      <c r="E6" s="135" t="str">
        <f>"Peça: "</f>
        <v xml:space="preserve">Peça: </v>
      </c>
      <c r="F6" s="136" t="str">
        <f>T8</f>
        <v>3G8.823.105</v>
      </c>
      <c r="G6" s="136"/>
      <c r="H6" s="136"/>
      <c r="I6" s="136"/>
      <c r="J6" s="136"/>
      <c r="K6" s="136"/>
      <c r="L6" s="136"/>
      <c r="M6" s="136"/>
      <c r="N6" s="136"/>
      <c r="O6" s="137"/>
      <c r="P6" s="58"/>
      <c r="Q6" s="55"/>
      <c r="R6" s="55"/>
      <c r="S6" s="6"/>
      <c r="T6" s="17" t="s">
        <v>366</v>
      </c>
      <c r="Z6" s="50" t="s">
        <v>249</v>
      </c>
      <c r="AA6" s="89">
        <v>1</v>
      </c>
      <c r="AB6" s="95"/>
      <c r="AC6" s="95"/>
      <c r="AD6" s="105"/>
    </row>
    <row r="7" spans="1:30" ht="15" customHeight="1" x14ac:dyDescent="0.25">
      <c r="A7" s="80"/>
      <c r="B7" s="54"/>
      <c r="C7" s="55"/>
      <c r="D7" s="55"/>
      <c r="E7" s="130"/>
      <c r="F7" s="133"/>
      <c r="G7" s="133"/>
      <c r="H7" s="133"/>
      <c r="I7" s="133"/>
      <c r="J7" s="133"/>
      <c r="K7" s="133"/>
      <c r="L7" s="133"/>
      <c r="M7" s="133"/>
      <c r="N7" s="133"/>
      <c r="O7" s="134"/>
      <c r="P7" s="55"/>
      <c r="Q7" s="55"/>
      <c r="R7" s="55"/>
      <c r="S7" s="6"/>
      <c r="T7" s="53" t="s">
        <v>85</v>
      </c>
      <c r="Z7" s="50" t="s">
        <v>2</v>
      </c>
      <c r="AA7" s="89">
        <f>SUM(AA2:AA6)</f>
        <v>14</v>
      </c>
      <c r="AB7" s="95">
        <f>SUM(AB2:AB6)</f>
        <v>0</v>
      </c>
      <c r="AC7" s="95"/>
      <c r="AD7" s="105"/>
    </row>
    <row r="8" spans="1:30" ht="15" customHeight="1" x14ac:dyDescent="0.25">
      <c r="A8" s="15"/>
      <c r="E8" s="135" t="str">
        <f>"Ano: "</f>
        <v xml:space="preserve">Ano: </v>
      </c>
      <c r="F8" s="136">
        <f>T9</f>
        <v>2017</v>
      </c>
      <c r="G8" s="136"/>
      <c r="H8" s="136"/>
      <c r="I8" s="136"/>
      <c r="J8" s="136"/>
      <c r="K8" s="136"/>
      <c r="L8" s="136"/>
      <c r="M8" s="136"/>
      <c r="N8" s="136"/>
      <c r="O8" s="137"/>
      <c r="S8" s="6"/>
      <c r="T8" s="2" t="s">
        <v>99</v>
      </c>
      <c r="Z8" s="48" t="s">
        <v>5</v>
      </c>
      <c r="AA8" s="90"/>
      <c r="AB8" s="106"/>
      <c r="AC8" s="106"/>
      <c r="AD8" s="107"/>
    </row>
    <row r="9" spans="1:30" ht="15" customHeight="1" x14ac:dyDescent="0.25">
      <c r="A9" s="81"/>
      <c r="B9" s="57"/>
      <c r="C9" s="57"/>
      <c r="D9" s="57"/>
      <c r="E9" s="130"/>
      <c r="F9" s="133"/>
      <c r="G9" s="133"/>
      <c r="H9" s="133"/>
      <c r="I9" s="133"/>
      <c r="J9" s="133"/>
      <c r="K9" s="133"/>
      <c r="L9" s="133"/>
      <c r="M9" s="133"/>
      <c r="N9" s="133"/>
      <c r="O9" s="134"/>
      <c r="P9" s="57"/>
      <c r="Q9" s="57"/>
      <c r="R9" s="57"/>
      <c r="S9" s="6"/>
      <c r="T9" s="2">
        <v>2017</v>
      </c>
      <c r="Z9" s="44" t="s">
        <v>8</v>
      </c>
      <c r="AA9" s="91"/>
      <c r="AB9" s="108"/>
      <c r="AC9" s="108"/>
      <c r="AD9" s="109"/>
    </row>
    <row r="10" spans="1:30" x14ac:dyDescent="0.25">
      <c r="A10" s="81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6"/>
      <c r="Z10" s="44" t="s">
        <v>7</v>
      </c>
      <c r="AA10" s="91">
        <v>1</v>
      </c>
      <c r="AB10" s="108"/>
      <c r="AC10" s="108"/>
      <c r="AD10" s="109"/>
    </row>
    <row r="11" spans="1:30" ht="15" customHeight="1" x14ac:dyDescent="0.25">
      <c r="A11" s="81"/>
      <c r="B11" s="118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6"/>
      <c r="Z11" s="44" t="s">
        <v>41</v>
      </c>
      <c r="AA11" s="91"/>
      <c r="AB11" s="108"/>
      <c r="AC11" s="108"/>
      <c r="AD11" s="109"/>
    </row>
    <row r="12" spans="1:30" ht="15" customHeight="1" x14ac:dyDescent="0.25">
      <c r="A12" s="81"/>
      <c r="B12" s="118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6"/>
      <c r="Z12" s="44" t="s">
        <v>40</v>
      </c>
      <c r="AA12" s="91"/>
      <c r="AB12" s="108"/>
      <c r="AC12" s="108"/>
      <c r="AD12" s="109"/>
    </row>
    <row r="13" spans="1:30" ht="15" customHeight="1" x14ac:dyDescent="0.25">
      <c r="A13" s="81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6"/>
      <c r="T13" s="12"/>
      <c r="Z13" s="44" t="s">
        <v>1</v>
      </c>
      <c r="AA13" s="91"/>
      <c r="AB13" s="108"/>
      <c r="AC13" s="108"/>
      <c r="AD13" s="109"/>
    </row>
    <row r="14" spans="1:30" ht="15" customHeight="1" x14ac:dyDescent="0.25">
      <c r="A14" s="81"/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6"/>
      <c r="T14" s="11"/>
      <c r="Z14" s="96" t="s">
        <v>356</v>
      </c>
      <c r="AA14" s="94"/>
      <c r="AB14" s="110"/>
      <c r="AC14" s="110"/>
      <c r="AD14" s="111"/>
    </row>
    <row r="15" spans="1:30" ht="15" customHeight="1" x14ac:dyDescent="0.25">
      <c r="A15" s="81"/>
      <c r="B15" s="118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6"/>
      <c r="Z15" s="45" t="s">
        <v>353</v>
      </c>
      <c r="AA15" s="98"/>
      <c r="AB15" s="99"/>
      <c r="AC15" s="100"/>
      <c r="AD15" s="101"/>
    </row>
    <row r="16" spans="1:30" ht="15" customHeight="1" x14ac:dyDescent="0.25">
      <c r="A16" s="81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6"/>
      <c r="Z16" s="45" t="s">
        <v>185</v>
      </c>
      <c r="AA16" s="98"/>
      <c r="AB16" s="99"/>
      <c r="AC16" s="100"/>
      <c r="AD16" s="101">
        <v>5</v>
      </c>
    </row>
    <row r="17" spans="1:30" x14ac:dyDescent="0.25">
      <c r="A17" s="81"/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6"/>
      <c r="Z17" s="45" t="s">
        <v>210</v>
      </c>
      <c r="AA17" s="98"/>
      <c r="AB17" s="99"/>
      <c r="AC17" s="100"/>
      <c r="AD17" s="101"/>
    </row>
    <row r="18" spans="1:30" x14ac:dyDescent="0.25">
      <c r="A18" s="81"/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6"/>
      <c r="Z18" s="45" t="s">
        <v>354</v>
      </c>
      <c r="AA18" s="98"/>
      <c r="AB18" s="99"/>
      <c r="AC18" s="100"/>
      <c r="AD18" s="101"/>
    </row>
    <row r="19" spans="1:30" x14ac:dyDescent="0.25">
      <c r="A19" s="81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6"/>
      <c r="Z19" s="45" t="s">
        <v>46</v>
      </c>
      <c r="AA19" s="98"/>
      <c r="AB19" s="99"/>
      <c r="AC19" s="100"/>
      <c r="AD19" s="101">
        <v>2</v>
      </c>
    </row>
    <row r="20" spans="1:30" x14ac:dyDescent="0.25">
      <c r="A20" s="81"/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6"/>
      <c r="Z20" s="45" t="s">
        <v>204</v>
      </c>
      <c r="AA20" s="98"/>
      <c r="AB20" s="99"/>
      <c r="AC20" s="100"/>
      <c r="AD20" s="101">
        <v>1</v>
      </c>
    </row>
    <row r="21" spans="1:30" x14ac:dyDescent="0.25">
      <c r="A21" s="81"/>
      <c r="B21" s="118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6"/>
      <c r="Z21" s="45" t="s">
        <v>143</v>
      </c>
      <c r="AA21" s="98"/>
      <c r="AB21" s="99"/>
      <c r="AC21" s="100"/>
      <c r="AD21" s="101">
        <v>3</v>
      </c>
    </row>
    <row r="22" spans="1:30" x14ac:dyDescent="0.25">
      <c r="A22" s="81"/>
      <c r="B22" s="118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6"/>
      <c r="Z22" s="45" t="s">
        <v>147</v>
      </c>
      <c r="AA22" s="98"/>
      <c r="AB22" s="99"/>
      <c r="AC22" s="100"/>
      <c r="AD22" s="101">
        <v>2</v>
      </c>
    </row>
    <row r="23" spans="1:30" x14ac:dyDescent="0.25">
      <c r="A23" s="81"/>
      <c r="B23" s="118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6"/>
      <c r="Z23" s="45" t="s">
        <v>57</v>
      </c>
      <c r="AA23" s="98"/>
      <c r="AB23" s="99"/>
      <c r="AC23" s="100"/>
      <c r="AD23" s="101">
        <v>1</v>
      </c>
    </row>
    <row r="24" spans="1:30" x14ac:dyDescent="0.25">
      <c r="A24" s="81"/>
      <c r="B24" s="11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6"/>
      <c r="Z24" s="46" t="s">
        <v>52</v>
      </c>
      <c r="AA24" s="98"/>
      <c r="AB24" s="99"/>
      <c r="AC24" s="100"/>
      <c r="AD24" s="101"/>
    </row>
    <row r="25" spans="1:30" x14ac:dyDescent="0.25">
      <c r="A25" s="81"/>
      <c r="B25" s="118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6"/>
      <c r="Z25" s="46"/>
      <c r="AA25" s="98"/>
      <c r="AB25" s="99"/>
      <c r="AC25" s="100"/>
      <c r="AD25" s="101"/>
    </row>
    <row r="26" spans="1:30" x14ac:dyDescent="0.25">
      <c r="A26" s="81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6"/>
      <c r="Z26" s="46"/>
      <c r="AA26" s="92"/>
      <c r="AB26" s="100"/>
      <c r="AC26" s="100"/>
      <c r="AD26" s="101"/>
    </row>
    <row r="27" spans="1:30" x14ac:dyDescent="0.25">
      <c r="A27" s="81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6"/>
      <c r="Z27" s="46"/>
      <c r="AA27" s="92"/>
      <c r="AB27" s="100"/>
      <c r="AC27" s="100"/>
      <c r="AD27" s="101"/>
    </row>
    <row r="28" spans="1:30" x14ac:dyDescent="0.25">
      <c r="A28" s="81"/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6"/>
      <c r="Z28" s="97"/>
      <c r="AA28" s="92" t="s">
        <v>8</v>
      </c>
      <c r="AB28" s="100" t="s">
        <v>7</v>
      </c>
      <c r="AC28" s="100" t="s">
        <v>41</v>
      </c>
      <c r="AD28" s="101" t="s">
        <v>479</v>
      </c>
    </row>
    <row r="29" spans="1:30" x14ac:dyDescent="0.25">
      <c r="A29" s="81"/>
      <c r="B29" s="118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6"/>
      <c r="Z29" s="46"/>
      <c r="AA29" s="92"/>
      <c r="AB29" s="100"/>
      <c r="AC29" s="100"/>
      <c r="AD29" s="101"/>
    </row>
    <row r="30" spans="1:30" x14ac:dyDescent="0.25">
      <c r="A30" s="81"/>
      <c r="B30" s="118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6"/>
      <c r="Z30" s="46"/>
      <c r="AA30" s="92"/>
      <c r="AB30" s="100"/>
      <c r="AC30" s="100"/>
      <c r="AD30" s="101"/>
    </row>
    <row r="31" spans="1:30" x14ac:dyDescent="0.25">
      <c r="A31" s="81"/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6"/>
      <c r="Z31" s="46"/>
      <c r="AA31" s="92"/>
      <c r="AB31" s="100"/>
      <c r="AC31" s="100"/>
      <c r="AD31" s="101"/>
    </row>
    <row r="32" spans="1:30" x14ac:dyDescent="0.25">
      <c r="A32" s="81"/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6"/>
      <c r="Z32" s="46"/>
      <c r="AA32" s="92"/>
      <c r="AB32" s="100"/>
      <c r="AC32" s="100"/>
      <c r="AD32" s="101"/>
    </row>
    <row r="33" spans="1:30" x14ac:dyDescent="0.25">
      <c r="A33" s="81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6"/>
      <c r="Z33" s="46"/>
      <c r="AA33" s="92"/>
      <c r="AB33" s="100"/>
      <c r="AC33" s="100"/>
      <c r="AD33" s="101"/>
    </row>
    <row r="34" spans="1:30" x14ac:dyDescent="0.25">
      <c r="A34" s="81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6"/>
      <c r="Z34" s="97"/>
      <c r="AA34" s="92"/>
      <c r="AB34" s="100"/>
      <c r="AC34" s="100"/>
      <c r="AD34" s="101"/>
    </row>
    <row r="35" spans="1:30" x14ac:dyDescent="0.25">
      <c r="A35" s="81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6"/>
      <c r="Z35" s="46"/>
      <c r="AA35" s="92"/>
      <c r="AB35" s="100"/>
      <c r="AC35" s="100"/>
      <c r="AD35" s="101"/>
    </row>
    <row r="36" spans="1:30" x14ac:dyDescent="0.25">
      <c r="A36" s="81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6"/>
      <c r="Z36" s="46"/>
      <c r="AA36" s="92"/>
      <c r="AB36" s="100"/>
      <c r="AC36" s="100"/>
      <c r="AD36" s="101"/>
    </row>
    <row r="37" spans="1:30" x14ac:dyDescent="0.25">
      <c r="A37" s="81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6"/>
      <c r="Z37" s="46"/>
      <c r="AA37" s="92"/>
      <c r="AB37" s="100"/>
      <c r="AC37" s="100"/>
      <c r="AD37" s="101"/>
    </row>
    <row r="38" spans="1:30" x14ac:dyDescent="0.25">
      <c r="A38" s="81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6"/>
      <c r="Z38" s="46"/>
      <c r="AA38" s="92"/>
      <c r="AB38" s="100"/>
      <c r="AC38" s="100"/>
      <c r="AD38" s="101"/>
    </row>
    <row r="39" spans="1:30" ht="15.75" thickBot="1" x14ac:dyDescent="0.3">
      <c r="A39" s="81"/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6"/>
      <c r="Z39" s="47"/>
      <c r="AA39" s="93"/>
      <c r="AB39" s="112"/>
      <c r="AC39" s="112"/>
      <c r="AD39" s="113"/>
    </row>
    <row r="40" spans="1:30" x14ac:dyDescent="0.25">
      <c r="A40" s="81"/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6"/>
    </row>
    <row r="41" spans="1:30" x14ac:dyDescent="0.25">
      <c r="A41" s="81"/>
      <c r="B41" s="118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6"/>
    </row>
    <row r="42" spans="1:30" x14ac:dyDescent="0.25">
      <c r="A42" s="5"/>
      <c r="B42" s="118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6"/>
    </row>
    <row r="43" spans="1:30" x14ac:dyDescent="0.25">
      <c r="A43" s="5"/>
      <c r="B43" s="118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6"/>
    </row>
    <row r="44" spans="1:30" x14ac:dyDescent="0.25">
      <c r="A44" s="5"/>
      <c r="B44" s="118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6"/>
    </row>
    <row r="45" spans="1:30" x14ac:dyDescent="0.25">
      <c r="A45" s="5"/>
      <c r="B45" s="118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8"/>
      <c r="Q45" s="118"/>
      <c r="R45" s="118"/>
      <c r="S45" s="6"/>
    </row>
    <row r="46" spans="1:30" x14ac:dyDescent="0.25">
      <c r="A46" s="15"/>
      <c r="B46" s="118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6"/>
    </row>
    <row r="47" spans="1:30" ht="15" customHeight="1" x14ac:dyDescent="0.25">
      <c r="A47" s="14"/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6"/>
    </row>
    <row r="48" spans="1:30" ht="15" customHeight="1" x14ac:dyDescent="0.25">
      <c r="A48" s="14"/>
      <c r="B48" s="118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6"/>
    </row>
    <row r="49" spans="1:19" ht="15" customHeight="1" x14ac:dyDescent="0.25">
      <c r="A49" s="14"/>
      <c r="B49" s="118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6"/>
    </row>
    <row r="50" spans="1:19" ht="15" customHeight="1" x14ac:dyDescent="0.25">
      <c r="A50" s="80"/>
      <c r="B50" s="54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6"/>
    </row>
    <row r="51" spans="1:19" ht="15" customHeight="1" x14ac:dyDescent="0.25">
      <c r="A51" s="80"/>
      <c r="B51" s="59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"/>
    </row>
    <row r="52" spans="1:19" ht="15" customHeight="1" x14ac:dyDescent="0.25">
      <c r="A52" s="80"/>
      <c r="B52" s="54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6"/>
    </row>
    <row r="53" spans="1:19" x14ac:dyDescent="0.25">
      <c r="A53" s="15"/>
      <c r="S53" s="6"/>
    </row>
    <row r="54" spans="1:19" ht="15" customHeight="1" x14ac:dyDescent="0.25">
      <c r="A54" s="127" t="s">
        <v>163</v>
      </c>
      <c r="B54" s="118"/>
      <c r="C54" s="118"/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6"/>
    </row>
    <row r="55" spans="1:19" x14ac:dyDescent="0.25">
      <c r="A55" s="127"/>
      <c r="B55" s="118"/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6"/>
    </row>
    <row r="56" spans="1:19" x14ac:dyDescent="0.25">
      <c r="A56" s="127"/>
      <c r="B56" s="118"/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6"/>
    </row>
    <row r="57" spans="1:19" x14ac:dyDescent="0.25">
      <c r="A57" s="127"/>
      <c r="B57" s="118"/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6"/>
    </row>
    <row r="58" spans="1:19" x14ac:dyDescent="0.25">
      <c r="A58" s="127"/>
      <c r="B58" s="118"/>
      <c r="C58" s="118"/>
      <c r="D58" s="118"/>
      <c r="E58" s="118"/>
      <c r="F58" s="118"/>
      <c r="G58" s="118"/>
      <c r="H58" s="118"/>
      <c r="I58" s="118"/>
      <c r="J58" s="118"/>
      <c r="K58" s="118"/>
      <c r="L58" s="118"/>
      <c r="M58" s="118"/>
      <c r="N58" s="118"/>
      <c r="O58" s="118"/>
      <c r="P58" s="118"/>
      <c r="Q58" s="118"/>
      <c r="R58" s="118"/>
      <c r="S58" s="6"/>
    </row>
    <row r="59" spans="1:19" x14ac:dyDescent="0.25">
      <c r="A59" s="127"/>
      <c r="B59" s="118"/>
      <c r="C59" s="118"/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6"/>
    </row>
    <row r="60" spans="1:19" x14ac:dyDescent="0.25">
      <c r="A60" s="127"/>
      <c r="B60" s="118"/>
      <c r="C60" s="118"/>
      <c r="D60" s="118"/>
      <c r="E60" s="118"/>
      <c r="F60" s="118"/>
      <c r="G60" s="118"/>
      <c r="H60" s="118"/>
      <c r="I60" s="118"/>
      <c r="J60" s="118"/>
      <c r="K60" s="118"/>
      <c r="L60" s="118"/>
      <c r="M60" s="118"/>
      <c r="N60" s="118"/>
      <c r="O60" s="118"/>
      <c r="P60" s="118"/>
      <c r="Q60" s="118"/>
      <c r="R60" s="118"/>
      <c r="S60" s="6"/>
    </row>
    <row r="61" spans="1:19" x14ac:dyDescent="0.25">
      <c r="A61" s="127"/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6"/>
    </row>
    <row r="62" spans="1:19" x14ac:dyDescent="0.25">
      <c r="A62" s="127"/>
      <c r="B62" s="118"/>
      <c r="C62" s="118"/>
      <c r="D62" s="118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6"/>
    </row>
    <row r="63" spans="1:19" x14ac:dyDescent="0.25">
      <c r="A63" s="127"/>
      <c r="B63" s="118"/>
      <c r="C63" s="118"/>
      <c r="D63" s="118"/>
      <c r="E63" s="118"/>
      <c r="F63" s="118"/>
      <c r="G63" s="118"/>
      <c r="H63" s="118"/>
      <c r="I63" s="118"/>
      <c r="J63" s="118"/>
      <c r="K63" s="118"/>
      <c r="L63" s="118"/>
      <c r="M63" s="118"/>
      <c r="N63" s="118"/>
      <c r="O63" s="118"/>
      <c r="P63" s="118"/>
      <c r="Q63" s="118"/>
      <c r="R63" s="118"/>
      <c r="S63" s="6"/>
    </row>
    <row r="64" spans="1:19" x14ac:dyDescent="0.25">
      <c r="A64" s="127"/>
      <c r="B64" s="118"/>
      <c r="C64" s="118"/>
      <c r="D64" s="118"/>
      <c r="E64" s="118"/>
      <c r="F64" s="118"/>
      <c r="G64" s="118"/>
      <c r="H64" s="118"/>
      <c r="I64" s="118"/>
      <c r="J64" s="118"/>
      <c r="K64" s="118"/>
      <c r="L64" s="118"/>
      <c r="M64" s="118"/>
      <c r="N64" s="118"/>
      <c r="O64" s="118"/>
      <c r="P64" s="118"/>
      <c r="Q64" s="118"/>
      <c r="R64" s="118"/>
      <c r="S64" s="6"/>
    </row>
    <row r="65" spans="1:19" x14ac:dyDescent="0.25">
      <c r="A65" s="127"/>
      <c r="B65" s="118"/>
      <c r="C65" s="118"/>
      <c r="D65" s="118"/>
      <c r="E65" s="118"/>
      <c r="F65" s="118"/>
      <c r="G65" s="118"/>
      <c r="H65" s="118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6"/>
    </row>
    <row r="66" spans="1:19" x14ac:dyDescent="0.25">
      <c r="A66" s="127"/>
      <c r="B66" s="118"/>
      <c r="C66" s="118"/>
      <c r="D66" s="118"/>
      <c r="E66" s="118"/>
      <c r="F66" s="118"/>
      <c r="G66" s="118"/>
      <c r="H66" s="118"/>
      <c r="I66" s="118"/>
      <c r="J66" s="118"/>
      <c r="K66" s="118"/>
      <c r="L66" s="118"/>
      <c r="M66" s="118"/>
      <c r="N66" s="118"/>
      <c r="O66" s="118"/>
      <c r="P66" s="118"/>
      <c r="Q66" s="118"/>
      <c r="R66" s="118"/>
      <c r="S66" s="6"/>
    </row>
    <row r="67" spans="1:19" x14ac:dyDescent="0.25">
      <c r="A67" s="127"/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6"/>
    </row>
    <row r="68" spans="1:19" x14ac:dyDescent="0.25">
      <c r="A68" s="127"/>
      <c r="B68" s="118"/>
      <c r="C68" s="118"/>
      <c r="D68" s="118"/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118"/>
      <c r="Q68" s="118"/>
      <c r="R68" s="118"/>
      <c r="S68" s="6"/>
    </row>
    <row r="69" spans="1:19" x14ac:dyDescent="0.25">
      <c r="A69" s="127"/>
      <c r="B69" s="118"/>
      <c r="C69" s="118"/>
      <c r="D69" s="118"/>
      <c r="E69" s="118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118"/>
      <c r="Q69" s="118"/>
      <c r="R69" s="118"/>
      <c r="S69" s="6"/>
    </row>
    <row r="70" spans="1:19" x14ac:dyDescent="0.25">
      <c r="A70" s="127"/>
      <c r="B70" s="118"/>
      <c r="C70" s="118"/>
      <c r="D70" s="118"/>
      <c r="E70" s="118"/>
      <c r="F70" s="118"/>
      <c r="G70" s="118"/>
      <c r="H70" s="118"/>
      <c r="I70" s="118"/>
      <c r="J70" s="118"/>
      <c r="K70" s="118"/>
      <c r="L70" s="118"/>
      <c r="M70" s="118"/>
      <c r="N70" s="118"/>
      <c r="O70" s="118"/>
      <c r="P70" s="118"/>
      <c r="Q70" s="118"/>
      <c r="R70" s="118"/>
      <c r="S70" s="6"/>
    </row>
    <row r="71" spans="1:19" x14ac:dyDescent="0.25">
      <c r="A71" s="127"/>
      <c r="B71" s="118"/>
      <c r="C71" s="118"/>
      <c r="D71" s="118"/>
      <c r="E71" s="118"/>
      <c r="F71" s="118"/>
      <c r="G71" s="118"/>
      <c r="H71" s="118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6"/>
    </row>
    <row r="72" spans="1:19" x14ac:dyDescent="0.25">
      <c r="A72" s="127"/>
      <c r="B72" s="118"/>
      <c r="C72" s="118"/>
      <c r="D72" s="118"/>
      <c r="E72" s="118"/>
      <c r="F72" s="118"/>
      <c r="G72" s="118"/>
      <c r="H72" s="118"/>
      <c r="I72" s="118"/>
      <c r="J72" s="118"/>
      <c r="K72" s="118"/>
      <c r="L72" s="118"/>
      <c r="M72" s="118"/>
      <c r="N72" s="118"/>
      <c r="O72" s="118"/>
      <c r="P72" s="118"/>
      <c r="Q72" s="118"/>
      <c r="R72" s="118"/>
      <c r="S72" s="6"/>
    </row>
    <row r="73" spans="1:19" x14ac:dyDescent="0.25">
      <c r="A73" s="127"/>
      <c r="B73" s="118"/>
      <c r="C73" s="118"/>
      <c r="D73" s="118"/>
      <c r="E73" s="118"/>
      <c r="F73" s="118"/>
      <c r="G73" s="118"/>
      <c r="H73" s="118"/>
      <c r="I73" s="118"/>
      <c r="J73" s="118"/>
      <c r="K73" s="118"/>
      <c r="L73" s="118"/>
      <c r="M73" s="118"/>
      <c r="N73" s="118"/>
      <c r="O73" s="118"/>
      <c r="P73" s="118"/>
      <c r="Q73" s="118"/>
      <c r="R73" s="118"/>
      <c r="S73" s="6"/>
    </row>
    <row r="74" spans="1:19" x14ac:dyDescent="0.25">
      <c r="A74" s="127"/>
      <c r="B74" s="118"/>
      <c r="C74" s="118"/>
      <c r="D74" s="118"/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6"/>
    </row>
    <row r="75" spans="1:19" x14ac:dyDescent="0.25">
      <c r="A75" s="127"/>
      <c r="B75" s="118"/>
      <c r="C75" s="118"/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6"/>
    </row>
    <row r="76" spans="1:19" x14ac:dyDescent="0.25">
      <c r="A76" s="127"/>
      <c r="B76" s="118"/>
      <c r="C76" s="118"/>
      <c r="D76" s="118"/>
      <c r="E76" s="118"/>
      <c r="F76" s="118"/>
      <c r="G76" s="118"/>
      <c r="H76" s="118"/>
      <c r="I76" s="118"/>
      <c r="J76" s="118"/>
      <c r="K76" s="118"/>
      <c r="L76" s="118"/>
      <c r="M76" s="118"/>
      <c r="N76" s="118"/>
      <c r="O76" s="118"/>
      <c r="P76" s="118"/>
      <c r="Q76" s="118"/>
      <c r="R76" s="118"/>
      <c r="S76" s="6"/>
    </row>
    <row r="77" spans="1:19" x14ac:dyDescent="0.25">
      <c r="A77" s="127"/>
      <c r="B77" s="118"/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6"/>
    </row>
    <row r="78" spans="1:19" x14ac:dyDescent="0.25">
      <c r="A78" s="127"/>
      <c r="B78" s="118"/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6"/>
    </row>
    <row r="79" spans="1:19" x14ac:dyDescent="0.25">
      <c r="A79" s="127"/>
      <c r="B79" s="118"/>
      <c r="C79" s="118"/>
      <c r="D79" s="118"/>
      <c r="E79" s="118"/>
      <c r="F79" s="118"/>
      <c r="G79" s="118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6"/>
    </row>
    <row r="80" spans="1:19" x14ac:dyDescent="0.25">
      <c r="A80" s="127"/>
      <c r="B80" s="118"/>
      <c r="C80" s="118"/>
      <c r="D80" s="118"/>
      <c r="E80" s="118"/>
      <c r="F80" s="118"/>
      <c r="G80" s="118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6"/>
    </row>
    <row r="81" spans="1:26" x14ac:dyDescent="0.25">
      <c r="A81" s="127"/>
      <c r="B81" s="118"/>
      <c r="C81" s="118"/>
      <c r="D81" s="118"/>
      <c r="E81" s="118"/>
      <c r="F81" s="118"/>
      <c r="G81" s="118"/>
      <c r="H81" s="118"/>
      <c r="I81" s="118"/>
      <c r="J81" s="118"/>
      <c r="K81" s="118"/>
      <c r="L81" s="118"/>
      <c r="M81" s="118"/>
      <c r="N81" s="118"/>
      <c r="O81" s="118"/>
      <c r="P81" s="118"/>
      <c r="Q81" s="118"/>
      <c r="R81" s="118"/>
      <c r="S81" s="6"/>
    </row>
    <row r="82" spans="1:26" x14ac:dyDescent="0.25">
      <c r="A82" s="127"/>
      <c r="B82" s="118"/>
      <c r="C82" s="118"/>
      <c r="D82" s="118"/>
      <c r="E82" s="118"/>
      <c r="F82" s="118"/>
      <c r="G82" s="118"/>
      <c r="H82" s="118"/>
      <c r="I82" s="118"/>
      <c r="J82" s="118"/>
      <c r="K82" s="118"/>
      <c r="L82" s="118"/>
      <c r="M82" s="118"/>
      <c r="N82" s="118"/>
      <c r="O82" s="118"/>
      <c r="P82" s="118"/>
      <c r="Q82" s="118"/>
      <c r="R82" s="118"/>
      <c r="S82" s="6"/>
    </row>
    <row r="83" spans="1:26" x14ac:dyDescent="0.25">
      <c r="A83" s="127"/>
      <c r="B83" s="118"/>
      <c r="C83" s="118"/>
      <c r="D83" s="118"/>
      <c r="E83" s="118"/>
      <c r="F83" s="118"/>
      <c r="G83" s="118"/>
      <c r="H83" s="118"/>
      <c r="I83" s="118"/>
      <c r="J83" s="118"/>
      <c r="K83" s="118"/>
      <c r="L83" s="118"/>
      <c r="M83" s="118"/>
      <c r="N83" s="118"/>
      <c r="O83" s="118"/>
      <c r="P83" s="118"/>
      <c r="Q83" s="118"/>
      <c r="R83" s="118"/>
      <c r="S83" s="6"/>
    </row>
    <row r="84" spans="1:26" x14ac:dyDescent="0.25">
      <c r="A84" s="127"/>
      <c r="B84" s="118"/>
      <c r="C84" s="118"/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118"/>
      <c r="Q84" s="118"/>
      <c r="R84" s="118"/>
      <c r="S84" s="6"/>
    </row>
    <row r="85" spans="1:26" x14ac:dyDescent="0.25">
      <c r="A85" s="127"/>
      <c r="B85" s="118"/>
      <c r="C85" s="118"/>
      <c r="D85" s="118"/>
      <c r="E85" s="118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118"/>
      <c r="Q85" s="118"/>
      <c r="R85" s="118"/>
      <c r="S85" s="6"/>
    </row>
    <row r="86" spans="1:26" x14ac:dyDescent="0.25">
      <c r="A86" s="127"/>
      <c r="B86" s="118"/>
      <c r="C86" s="118"/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8"/>
      <c r="Q86" s="118"/>
      <c r="R86" s="118"/>
      <c r="S86" s="6"/>
      <c r="Z86" s="30"/>
    </row>
    <row r="87" spans="1:26" x14ac:dyDescent="0.25">
      <c r="A87" s="127"/>
      <c r="B87" s="118"/>
      <c r="C87" s="118"/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118"/>
      <c r="Q87" s="118"/>
      <c r="R87" s="118"/>
      <c r="S87" s="6"/>
    </row>
    <row r="88" spans="1:26" x14ac:dyDescent="0.25">
      <c r="A88" s="127"/>
      <c r="B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6"/>
    </row>
    <row r="89" spans="1:26" x14ac:dyDescent="0.25">
      <c r="A89" s="127"/>
      <c r="B89" s="11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18"/>
      <c r="O89" s="118"/>
      <c r="P89" s="118"/>
      <c r="Q89" s="118"/>
      <c r="R89" s="118"/>
      <c r="S89" s="6"/>
    </row>
    <row r="90" spans="1:26" x14ac:dyDescent="0.25">
      <c r="A90" s="127"/>
      <c r="B90" s="118"/>
      <c r="C90" s="118"/>
      <c r="D90" s="118"/>
      <c r="E90" s="118"/>
      <c r="F90" s="118"/>
      <c r="G90" s="118"/>
      <c r="H90" s="118"/>
      <c r="I90" s="118"/>
      <c r="J90" s="118"/>
      <c r="K90" s="118"/>
      <c r="L90" s="118"/>
      <c r="M90" s="118"/>
      <c r="N90" s="118"/>
      <c r="O90" s="118"/>
      <c r="P90" s="118"/>
      <c r="Q90" s="118"/>
      <c r="R90" s="118"/>
      <c r="S90" s="76"/>
    </row>
    <row r="91" spans="1:26" x14ac:dyDescent="0.25">
      <c r="A91" s="127"/>
      <c r="B91" s="118"/>
      <c r="C91" s="118"/>
      <c r="D91" s="118"/>
      <c r="E91" s="118"/>
      <c r="F91" s="118"/>
      <c r="G91" s="118"/>
      <c r="H91" s="118"/>
      <c r="I91" s="118"/>
      <c r="J91" s="118"/>
      <c r="K91" s="118"/>
      <c r="L91" s="118"/>
      <c r="M91" s="118"/>
      <c r="N91" s="118"/>
      <c r="O91" s="118"/>
      <c r="P91" s="118"/>
      <c r="Q91" s="118"/>
      <c r="R91" s="118"/>
      <c r="S91" s="77"/>
    </row>
    <row r="92" spans="1:26" ht="15" customHeight="1" x14ac:dyDescent="0.25">
      <c r="A92" s="127"/>
      <c r="B92" s="118"/>
      <c r="C92" s="118"/>
      <c r="D92" s="118"/>
      <c r="E92" s="118"/>
      <c r="F92" s="118"/>
      <c r="G92" s="118"/>
      <c r="H92" s="118"/>
      <c r="I92" s="118"/>
      <c r="J92" s="118"/>
      <c r="K92" s="118"/>
      <c r="L92" s="118"/>
      <c r="M92" s="118"/>
      <c r="N92" s="118"/>
      <c r="O92" s="118"/>
      <c r="P92" s="118"/>
      <c r="Q92" s="118"/>
      <c r="R92" s="118"/>
      <c r="S92" s="77"/>
    </row>
    <row r="93" spans="1:26" ht="15" customHeight="1" x14ac:dyDescent="0.25">
      <c r="A93" s="14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77"/>
    </row>
    <row r="94" spans="1:26" ht="15" customHeight="1" x14ac:dyDescent="0.25">
      <c r="A94" s="14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77"/>
    </row>
    <row r="95" spans="1:26" ht="15" customHeight="1" x14ac:dyDescent="0.25">
      <c r="A95" s="80"/>
      <c r="B95" s="54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77"/>
    </row>
    <row r="96" spans="1:26" ht="15" customHeight="1" x14ac:dyDescent="0.25">
      <c r="A96" s="80"/>
      <c r="B96" s="54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77"/>
    </row>
    <row r="97" spans="1:19" ht="15" customHeight="1" x14ac:dyDescent="0.25">
      <c r="A97" s="80"/>
      <c r="B97" s="125"/>
      <c r="C97" s="125"/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77"/>
    </row>
    <row r="98" spans="1:19" ht="15" customHeight="1" x14ac:dyDescent="0.25">
      <c r="A98" s="82"/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77"/>
    </row>
    <row r="99" spans="1:19" ht="15" customHeight="1" x14ac:dyDescent="0.25">
      <c r="A99" s="128"/>
      <c r="B99" s="125"/>
      <c r="C99" s="125"/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6"/>
    </row>
    <row r="100" spans="1:19" ht="15" customHeight="1" x14ac:dyDescent="0.25">
      <c r="A100" s="128"/>
      <c r="B100" s="125"/>
      <c r="C100" s="125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6"/>
    </row>
    <row r="101" spans="1:19" ht="15" customHeight="1" x14ac:dyDescent="0.25">
      <c r="A101" s="128"/>
      <c r="B101" s="125"/>
      <c r="C101" s="125"/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6"/>
    </row>
    <row r="102" spans="1:19" ht="15" customHeight="1" x14ac:dyDescent="0.25">
      <c r="A102" s="128"/>
      <c r="B102" s="125"/>
      <c r="C102" s="125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6"/>
    </row>
    <row r="103" spans="1:19" ht="15" customHeight="1" x14ac:dyDescent="0.25">
      <c r="A103" s="128"/>
      <c r="B103" s="125"/>
      <c r="C103" s="125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6"/>
    </row>
    <row r="104" spans="1:19" ht="15" customHeight="1" x14ac:dyDescent="0.25">
      <c r="A104" s="128"/>
      <c r="B104" s="125"/>
      <c r="C104" s="125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6"/>
    </row>
    <row r="105" spans="1:19" ht="15" customHeight="1" x14ac:dyDescent="0.25">
      <c r="A105" s="128"/>
      <c r="B105" s="125"/>
      <c r="C105" s="125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6"/>
    </row>
    <row r="106" spans="1:19" ht="15" customHeight="1" x14ac:dyDescent="0.25">
      <c r="A106" s="128"/>
      <c r="B106" s="125"/>
      <c r="C106" s="125"/>
      <c r="D106" s="125"/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6"/>
    </row>
    <row r="107" spans="1:19" ht="15" customHeight="1" x14ac:dyDescent="0.25">
      <c r="A107" s="128"/>
      <c r="B107" s="125"/>
      <c r="C107" s="125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6"/>
    </row>
    <row r="108" spans="1:19" ht="15" customHeight="1" x14ac:dyDescent="0.25">
      <c r="A108" s="128"/>
      <c r="B108" s="125"/>
      <c r="C108" s="125"/>
      <c r="D108" s="125"/>
      <c r="E108" s="125"/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6"/>
    </row>
    <row r="109" spans="1:19" ht="15" customHeight="1" x14ac:dyDescent="0.25">
      <c r="A109" s="128"/>
      <c r="B109" s="125"/>
      <c r="C109" s="125"/>
      <c r="D109" s="125"/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6"/>
    </row>
    <row r="110" spans="1:19" ht="15" customHeight="1" x14ac:dyDescent="0.25">
      <c r="A110" s="128"/>
      <c r="B110" s="125"/>
      <c r="C110" s="125"/>
      <c r="D110" s="125"/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6"/>
    </row>
    <row r="111" spans="1:19" ht="15" customHeight="1" x14ac:dyDescent="0.25">
      <c r="A111" s="128"/>
      <c r="B111" s="125"/>
      <c r="C111" s="125"/>
      <c r="D111" s="125"/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6"/>
    </row>
    <row r="112" spans="1:19" ht="15" customHeight="1" x14ac:dyDescent="0.25">
      <c r="A112" s="128"/>
      <c r="B112" s="125"/>
      <c r="C112" s="125"/>
      <c r="D112" s="125"/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6"/>
    </row>
    <row r="113" spans="1:19" ht="15" customHeight="1" x14ac:dyDescent="0.25">
      <c r="A113" s="128"/>
      <c r="B113" s="125"/>
      <c r="C113" s="125"/>
      <c r="D113" s="125"/>
      <c r="E113" s="125"/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6"/>
    </row>
    <row r="114" spans="1:19" ht="15" customHeight="1" x14ac:dyDescent="0.25">
      <c r="A114" s="128"/>
      <c r="B114" s="125"/>
      <c r="C114" s="125"/>
      <c r="D114" s="125"/>
      <c r="E114" s="125"/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6"/>
    </row>
    <row r="115" spans="1:19" ht="15" customHeight="1" x14ac:dyDescent="0.25">
      <c r="A115" s="128"/>
      <c r="B115" s="125"/>
      <c r="C115" s="125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6"/>
    </row>
    <row r="116" spans="1:19" ht="15" customHeight="1" x14ac:dyDescent="0.25">
      <c r="A116" s="128"/>
      <c r="B116" s="125"/>
      <c r="C116" s="125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6"/>
    </row>
    <row r="117" spans="1:19" ht="15" customHeight="1" x14ac:dyDescent="0.25">
      <c r="A117" s="128"/>
      <c r="B117" s="125"/>
      <c r="C117" s="125"/>
      <c r="D117" s="125"/>
      <c r="E117" s="125"/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6"/>
    </row>
    <row r="118" spans="1:19" ht="15" customHeight="1" x14ac:dyDescent="0.25">
      <c r="A118" s="128"/>
      <c r="B118" s="125"/>
      <c r="C118" s="125"/>
      <c r="D118" s="125"/>
      <c r="E118" s="125"/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6"/>
    </row>
    <row r="119" spans="1:19" ht="15" customHeight="1" x14ac:dyDescent="0.25">
      <c r="A119" s="128"/>
      <c r="B119" s="125"/>
      <c r="C119" s="125"/>
      <c r="D119" s="125"/>
      <c r="E119" s="125"/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6"/>
    </row>
    <row r="120" spans="1:19" ht="15" customHeight="1" x14ac:dyDescent="0.25">
      <c r="A120" s="128"/>
      <c r="B120" s="125"/>
      <c r="C120" s="125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6"/>
    </row>
    <row r="121" spans="1:19" ht="15" customHeight="1" x14ac:dyDescent="0.25">
      <c r="A121" s="128"/>
      <c r="B121" s="125"/>
      <c r="C121" s="125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6"/>
    </row>
    <row r="122" spans="1:19" ht="15" customHeight="1" x14ac:dyDescent="0.25">
      <c r="A122" s="128"/>
      <c r="B122" s="125"/>
      <c r="C122" s="125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6"/>
    </row>
    <row r="123" spans="1:19" ht="15" customHeight="1" x14ac:dyDescent="0.25">
      <c r="A123" s="128"/>
      <c r="B123" s="125"/>
      <c r="C123" s="125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6"/>
    </row>
    <row r="124" spans="1:19" ht="15" customHeight="1" x14ac:dyDescent="0.25">
      <c r="A124" s="128"/>
      <c r="B124" s="125"/>
      <c r="C124" s="125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6"/>
    </row>
    <row r="125" spans="1:19" ht="15" customHeight="1" x14ac:dyDescent="0.25">
      <c r="A125" s="128"/>
      <c r="B125" s="125"/>
      <c r="C125" s="125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6"/>
    </row>
    <row r="126" spans="1:19" ht="15" customHeight="1" x14ac:dyDescent="0.25">
      <c r="A126" s="128"/>
      <c r="B126" s="125"/>
      <c r="C126" s="125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6"/>
    </row>
    <row r="127" spans="1:19" ht="15" customHeight="1" x14ac:dyDescent="0.25">
      <c r="A127" s="128"/>
      <c r="B127" s="125"/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6"/>
    </row>
    <row r="128" spans="1:19" ht="15" customHeight="1" x14ac:dyDescent="0.25">
      <c r="A128" s="128"/>
      <c r="B128" s="125"/>
      <c r="C128" s="125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6"/>
    </row>
    <row r="129" spans="1:27" ht="15" customHeight="1" x14ac:dyDescent="0.25">
      <c r="A129" s="128"/>
      <c r="B129" s="125"/>
      <c r="C129" s="125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6"/>
    </row>
    <row r="130" spans="1:27" ht="15" customHeight="1" x14ac:dyDescent="0.25">
      <c r="A130" s="128"/>
      <c r="B130" s="125"/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6"/>
    </row>
    <row r="131" spans="1:27" ht="15" customHeight="1" x14ac:dyDescent="0.25">
      <c r="A131" s="128"/>
      <c r="B131" s="125"/>
      <c r="C131" s="125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6"/>
    </row>
    <row r="132" spans="1:27" ht="15" customHeight="1" x14ac:dyDescent="0.25">
      <c r="A132" s="5"/>
      <c r="B132" s="125"/>
      <c r="C132" s="125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6"/>
    </row>
    <row r="133" spans="1:27" ht="15" customHeight="1" x14ac:dyDescent="0.25">
      <c r="A133" s="5"/>
      <c r="B133" s="125"/>
      <c r="C133" s="125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6"/>
    </row>
    <row r="134" spans="1:27" ht="15" customHeight="1" x14ac:dyDescent="0.25">
      <c r="A134" s="5"/>
      <c r="B134" s="125"/>
      <c r="C134" s="125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6"/>
    </row>
    <row r="135" spans="1:27" ht="15" customHeight="1" x14ac:dyDescent="0.25">
      <c r="A135" s="5"/>
      <c r="B135" s="125"/>
      <c r="C135" s="125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6"/>
    </row>
    <row r="136" spans="1:27" x14ac:dyDescent="0.25">
      <c r="A136" s="15"/>
      <c r="S136" s="6"/>
    </row>
    <row r="137" spans="1:27" ht="15" customHeight="1" x14ac:dyDescent="0.25">
      <c r="A137" s="14"/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6"/>
    </row>
    <row r="138" spans="1:27" ht="15" customHeight="1" x14ac:dyDescent="0.25">
      <c r="A138" s="14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6"/>
    </row>
    <row r="139" spans="1:27" ht="15" customHeight="1" x14ac:dyDescent="0.25">
      <c r="A139" s="14"/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6"/>
    </row>
    <row r="140" spans="1:27" ht="15" customHeight="1" x14ac:dyDescent="0.25">
      <c r="A140" s="80"/>
      <c r="B140" s="54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76"/>
    </row>
    <row r="141" spans="1:27" ht="15" customHeight="1" x14ac:dyDescent="0.25">
      <c r="A141" s="80"/>
      <c r="B141" s="54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76"/>
    </row>
    <row r="142" spans="1:27" ht="15" customHeight="1" x14ac:dyDescent="0.25">
      <c r="A142" s="83"/>
      <c r="B142" s="59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78"/>
    </row>
    <row r="143" spans="1:27" x14ac:dyDescent="0.25">
      <c r="G143" s="30"/>
      <c r="AA143" s="2"/>
    </row>
    <row r="144" spans="1:27" ht="15" customHeight="1" x14ac:dyDescent="0.25">
      <c r="G144" s="30"/>
      <c r="AA144" s="2"/>
    </row>
    <row r="145" spans="7:27" x14ac:dyDescent="0.25">
      <c r="G145" s="30"/>
      <c r="AA145" s="2"/>
    </row>
    <row r="146" spans="7:27" x14ac:dyDescent="0.25">
      <c r="G146" s="30"/>
      <c r="AA146" s="2"/>
    </row>
    <row r="147" spans="7:27" x14ac:dyDescent="0.25">
      <c r="G147" s="30"/>
      <c r="AA147" s="2"/>
    </row>
    <row r="148" spans="7:27" x14ac:dyDescent="0.25">
      <c r="G148" s="30"/>
      <c r="AA148" s="2"/>
    </row>
    <row r="149" spans="7:27" x14ac:dyDescent="0.25">
      <c r="G149" s="30"/>
      <c r="AA149" s="2"/>
    </row>
    <row r="150" spans="7:27" x14ac:dyDescent="0.25">
      <c r="G150" s="30"/>
      <c r="AA150" s="2"/>
    </row>
    <row r="151" spans="7:27" x14ac:dyDescent="0.25">
      <c r="G151" s="30"/>
      <c r="AA151" s="2"/>
    </row>
    <row r="152" spans="7:27" x14ac:dyDescent="0.25">
      <c r="G152" s="30"/>
      <c r="AA152" s="2"/>
    </row>
    <row r="153" spans="7:27" x14ac:dyDescent="0.25">
      <c r="G153" s="30"/>
      <c r="AA153" s="2"/>
    </row>
    <row r="154" spans="7:27" x14ac:dyDescent="0.25">
      <c r="G154" s="30"/>
      <c r="AA154" s="2"/>
    </row>
    <row r="155" spans="7:27" x14ac:dyDescent="0.25">
      <c r="G155" s="30"/>
      <c r="AA155" s="2"/>
    </row>
    <row r="156" spans="7:27" x14ac:dyDescent="0.25">
      <c r="G156" s="30"/>
      <c r="AA156" s="2"/>
    </row>
    <row r="157" spans="7:27" x14ac:dyDescent="0.25">
      <c r="G157" s="30"/>
      <c r="AA157" s="2"/>
    </row>
    <row r="158" spans="7:27" x14ac:dyDescent="0.25">
      <c r="G158" s="30"/>
      <c r="AA158" s="2"/>
    </row>
    <row r="159" spans="7:27" x14ac:dyDescent="0.25">
      <c r="G159" s="30"/>
      <c r="AA159" s="2"/>
    </row>
    <row r="160" spans="7:27" x14ac:dyDescent="0.25">
      <c r="G160" s="30"/>
      <c r="AA160" s="2"/>
    </row>
    <row r="161" spans="7:27" x14ac:dyDescent="0.25">
      <c r="G161" s="30"/>
      <c r="AA161" s="2"/>
    </row>
    <row r="162" spans="7:27" x14ac:dyDescent="0.25">
      <c r="G162" s="30"/>
      <c r="AA162" s="2"/>
    </row>
    <row r="163" spans="7:27" x14ac:dyDescent="0.25">
      <c r="G163" s="30"/>
      <c r="AA163" s="2"/>
    </row>
    <row r="164" spans="7:27" x14ac:dyDescent="0.25">
      <c r="G164" s="30"/>
      <c r="AA164" s="2"/>
    </row>
    <row r="165" spans="7:27" x14ac:dyDescent="0.25">
      <c r="G165" s="30"/>
      <c r="AA165" s="2"/>
    </row>
    <row r="166" spans="7:27" x14ac:dyDescent="0.25">
      <c r="G166" s="30"/>
      <c r="AA166" s="2"/>
    </row>
    <row r="167" spans="7:27" x14ac:dyDescent="0.25">
      <c r="G167" s="30"/>
      <c r="AA167" s="2"/>
    </row>
    <row r="168" spans="7:27" x14ac:dyDescent="0.25">
      <c r="G168" s="30"/>
      <c r="AA168" s="2"/>
    </row>
    <row r="169" spans="7:27" x14ac:dyDescent="0.25">
      <c r="G169" s="30"/>
      <c r="AA169" s="2"/>
    </row>
    <row r="170" spans="7:27" x14ac:dyDescent="0.25">
      <c r="G170" s="30"/>
      <c r="AA170" s="2"/>
    </row>
    <row r="171" spans="7:27" x14ac:dyDescent="0.25">
      <c r="G171" s="30"/>
      <c r="AA171" s="2"/>
    </row>
    <row r="172" spans="7:27" x14ac:dyDescent="0.25">
      <c r="G172" s="30"/>
      <c r="AA172" s="2"/>
    </row>
    <row r="173" spans="7:27" x14ac:dyDescent="0.25">
      <c r="G173" s="30"/>
      <c r="AA173" s="2"/>
    </row>
    <row r="174" spans="7:27" x14ac:dyDescent="0.25">
      <c r="G174" s="30"/>
      <c r="AA174" s="2"/>
    </row>
    <row r="175" spans="7:27" x14ac:dyDescent="0.25">
      <c r="G175" s="30"/>
      <c r="AA175" s="2"/>
    </row>
    <row r="176" spans="7:27" x14ac:dyDescent="0.25">
      <c r="G176" s="30"/>
      <c r="AA176" s="2"/>
    </row>
    <row r="177" spans="7:27" x14ac:dyDescent="0.25">
      <c r="G177" s="30"/>
      <c r="AA177" s="2"/>
    </row>
    <row r="178" spans="7:27" x14ac:dyDescent="0.25">
      <c r="G178" s="30"/>
      <c r="AA178" s="2"/>
    </row>
    <row r="179" spans="7:27" x14ac:dyDescent="0.25">
      <c r="G179" s="30"/>
      <c r="AA179" s="2"/>
    </row>
    <row r="180" spans="7:27" x14ac:dyDescent="0.25">
      <c r="G180" s="30"/>
      <c r="AA180" s="2"/>
    </row>
    <row r="181" spans="7:27" x14ac:dyDescent="0.25">
      <c r="G181" s="30"/>
      <c r="AA181" s="2"/>
    </row>
    <row r="182" spans="7:27" ht="15" customHeight="1" x14ac:dyDescent="0.25">
      <c r="G182" s="30"/>
      <c r="AA182" s="2"/>
    </row>
    <row r="183" spans="7:27" ht="15" customHeight="1" x14ac:dyDescent="0.25">
      <c r="G183" s="30"/>
      <c r="AA183" s="2"/>
    </row>
    <row r="184" spans="7:27" ht="15" customHeight="1" x14ac:dyDescent="0.25">
      <c r="G184" s="30"/>
      <c r="AA184" s="2"/>
    </row>
    <row r="185" spans="7:27" ht="15" customHeight="1" x14ac:dyDescent="0.25">
      <c r="G185" s="30"/>
      <c r="AA185" s="2"/>
    </row>
    <row r="186" spans="7:27" ht="15" customHeight="1" x14ac:dyDescent="0.25">
      <c r="G186" s="30"/>
      <c r="AA186" s="2"/>
    </row>
    <row r="187" spans="7:27" ht="15" customHeight="1" x14ac:dyDescent="0.25">
      <c r="G187" s="30"/>
      <c r="AA187" s="2"/>
    </row>
    <row r="188" spans="7:27" x14ac:dyDescent="0.25">
      <c r="G188" s="30"/>
      <c r="AA188" s="2"/>
    </row>
    <row r="189" spans="7:27" ht="15" customHeight="1" x14ac:dyDescent="0.25">
      <c r="G189" s="30"/>
      <c r="AA189" s="2"/>
    </row>
    <row r="190" spans="7:27" x14ac:dyDescent="0.25">
      <c r="G190" s="30"/>
      <c r="AA190" s="2"/>
    </row>
    <row r="191" spans="7:27" x14ac:dyDescent="0.25">
      <c r="G191" s="30"/>
      <c r="AA191" s="2"/>
    </row>
    <row r="192" spans="7:27" x14ac:dyDescent="0.25">
      <c r="G192" s="30"/>
      <c r="AA192" s="2"/>
    </row>
    <row r="193" spans="7:27" x14ac:dyDescent="0.25">
      <c r="G193" s="30"/>
      <c r="AA193" s="2"/>
    </row>
    <row r="194" spans="7:27" x14ac:dyDescent="0.25">
      <c r="G194" s="30"/>
      <c r="AA194" s="2"/>
    </row>
    <row r="195" spans="7:27" x14ac:dyDescent="0.25">
      <c r="G195" s="30"/>
      <c r="AA195" s="2"/>
    </row>
    <row r="196" spans="7:27" x14ac:dyDescent="0.25">
      <c r="G196" s="30"/>
      <c r="AA196" s="2"/>
    </row>
    <row r="197" spans="7:27" x14ac:dyDescent="0.25">
      <c r="G197" s="30"/>
      <c r="AA197" s="2"/>
    </row>
    <row r="198" spans="7:27" x14ac:dyDescent="0.25">
      <c r="G198" s="30"/>
      <c r="AA198" s="2"/>
    </row>
    <row r="199" spans="7:27" x14ac:dyDescent="0.25">
      <c r="G199" s="30"/>
      <c r="AA199" s="2"/>
    </row>
    <row r="200" spans="7:27" x14ac:dyDescent="0.25">
      <c r="G200" s="30"/>
      <c r="AA200" s="2"/>
    </row>
    <row r="201" spans="7:27" x14ac:dyDescent="0.25">
      <c r="G201" s="30"/>
      <c r="AA201" s="2"/>
    </row>
    <row r="202" spans="7:27" x14ac:dyDescent="0.25">
      <c r="G202" s="30"/>
      <c r="AA202" s="2"/>
    </row>
    <row r="203" spans="7:27" x14ac:dyDescent="0.25">
      <c r="G203" s="30"/>
      <c r="AA203" s="2"/>
    </row>
    <row r="204" spans="7:27" x14ac:dyDescent="0.25">
      <c r="G204" s="30"/>
      <c r="AA204" s="2"/>
    </row>
    <row r="205" spans="7:27" x14ac:dyDescent="0.25">
      <c r="G205" s="30"/>
      <c r="AA205" s="2"/>
    </row>
    <row r="206" spans="7:27" x14ac:dyDescent="0.25">
      <c r="G206" s="30"/>
      <c r="AA206" s="2"/>
    </row>
    <row r="207" spans="7:27" x14ac:dyDescent="0.25">
      <c r="G207" s="30"/>
      <c r="AA207" s="2"/>
    </row>
    <row r="208" spans="7:27" x14ac:dyDescent="0.25">
      <c r="G208" s="30"/>
      <c r="AA208" s="2"/>
    </row>
    <row r="209" spans="7:27" x14ac:dyDescent="0.25">
      <c r="G209" s="30"/>
      <c r="AA209" s="2"/>
    </row>
    <row r="210" spans="7:27" x14ac:dyDescent="0.25">
      <c r="G210" s="30"/>
      <c r="AA210" s="2"/>
    </row>
    <row r="211" spans="7:27" x14ac:dyDescent="0.25">
      <c r="G211" s="30"/>
      <c r="AA211" s="2"/>
    </row>
    <row r="212" spans="7:27" x14ac:dyDescent="0.25">
      <c r="G212" s="30"/>
      <c r="AA212" s="2"/>
    </row>
    <row r="213" spans="7:27" x14ac:dyDescent="0.25">
      <c r="G213" s="30"/>
      <c r="AA213" s="2"/>
    </row>
    <row r="214" spans="7:27" x14ac:dyDescent="0.25">
      <c r="G214" s="30"/>
      <c r="AA214" s="2"/>
    </row>
    <row r="215" spans="7:27" x14ac:dyDescent="0.25">
      <c r="G215" s="30"/>
      <c r="AA215" s="2"/>
    </row>
    <row r="216" spans="7:27" x14ac:dyDescent="0.25">
      <c r="G216" s="30"/>
      <c r="AA216" s="2"/>
    </row>
    <row r="217" spans="7:27" x14ac:dyDescent="0.25">
      <c r="G217" s="30"/>
      <c r="AA217" s="2"/>
    </row>
    <row r="218" spans="7:27" x14ac:dyDescent="0.25">
      <c r="G218" s="30"/>
      <c r="AA218" s="2"/>
    </row>
    <row r="219" spans="7:27" x14ac:dyDescent="0.25">
      <c r="G219" s="30"/>
      <c r="AA219" s="2"/>
    </row>
    <row r="220" spans="7:27" x14ac:dyDescent="0.25">
      <c r="G220" s="30"/>
      <c r="AA220" s="2"/>
    </row>
    <row r="221" spans="7:27" x14ac:dyDescent="0.25">
      <c r="G221" s="30"/>
      <c r="AA221" s="2"/>
    </row>
    <row r="222" spans="7:27" x14ac:dyDescent="0.25">
      <c r="G222" s="30"/>
      <c r="AA222" s="2"/>
    </row>
    <row r="223" spans="7:27" x14ac:dyDescent="0.25">
      <c r="G223" s="30"/>
      <c r="AA223" s="2"/>
    </row>
    <row r="224" spans="7:27" x14ac:dyDescent="0.25">
      <c r="G224" s="30"/>
      <c r="AA224" s="2"/>
    </row>
    <row r="225" spans="7:27" x14ac:dyDescent="0.25">
      <c r="G225" s="30"/>
      <c r="AA225" s="2"/>
    </row>
    <row r="226" spans="7:27" x14ac:dyDescent="0.25">
      <c r="G226" s="30"/>
      <c r="AA226" s="2"/>
    </row>
    <row r="227" spans="7:27" ht="15" customHeight="1" x14ac:dyDescent="0.25">
      <c r="G227" s="30"/>
      <c r="AA227" s="2"/>
    </row>
    <row r="228" spans="7:27" ht="15" customHeight="1" x14ac:dyDescent="0.25">
      <c r="G228" s="30"/>
      <c r="AA228" s="2"/>
    </row>
    <row r="229" spans="7:27" ht="15" customHeight="1" x14ac:dyDescent="0.25">
      <c r="G229" s="30"/>
      <c r="AA229" s="2"/>
    </row>
    <row r="230" spans="7:27" ht="15" customHeight="1" x14ac:dyDescent="0.25">
      <c r="G230" s="30"/>
      <c r="AA230" s="2"/>
    </row>
    <row r="231" spans="7:27" ht="15" customHeight="1" x14ac:dyDescent="0.25">
      <c r="G231" s="30"/>
      <c r="AA231" s="2"/>
    </row>
    <row r="232" spans="7:27" ht="15" customHeight="1" x14ac:dyDescent="0.25">
      <c r="G232" s="30"/>
      <c r="AA232" s="2"/>
    </row>
    <row r="233" spans="7:27" x14ac:dyDescent="0.25">
      <c r="G233" s="30"/>
      <c r="AA233" s="2"/>
    </row>
    <row r="234" spans="7:27" ht="15" customHeight="1" x14ac:dyDescent="0.25">
      <c r="G234" s="30"/>
      <c r="AA234" s="2"/>
    </row>
    <row r="235" spans="7:27" x14ac:dyDescent="0.25">
      <c r="G235" s="30"/>
      <c r="AA235" s="2"/>
    </row>
    <row r="236" spans="7:27" x14ac:dyDescent="0.25">
      <c r="G236" s="30"/>
      <c r="AA236" s="2"/>
    </row>
    <row r="237" spans="7:27" x14ac:dyDescent="0.25">
      <c r="G237" s="30"/>
      <c r="AA237" s="2"/>
    </row>
    <row r="238" spans="7:27" x14ac:dyDescent="0.25">
      <c r="G238" s="30"/>
      <c r="AA238" s="2"/>
    </row>
    <row r="239" spans="7:27" x14ac:dyDescent="0.25">
      <c r="G239" s="30"/>
      <c r="AA239" s="2"/>
    </row>
    <row r="240" spans="7:27" x14ac:dyDescent="0.25">
      <c r="G240" s="30"/>
      <c r="AA240" s="2"/>
    </row>
    <row r="241" spans="7:27" x14ac:dyDescent="0.25">
      <c r="G241" s="30"/>
      <c r="AA241" s="2"/>
    </row>
    <row r="242" spans="7:27" x14ac:dyDescent="0.25">
      <c r="G242" s="30"/>
      <c r="AA242" s="2"/>
    </row>
    <row r="243" spans="7:27" x14ac:dyDescent="0.25">
      <c r="G243" s="30"/>
      <c r="AA243" s="2"/>
    </row>
    <row r="244" spans="7:27" x14ac:dyDescent="0.25">
      <c r="G244" s="30"/>
      <c r="AA244" s="2"/>
    </row>
    <row r="245" spans="7:27" x14ac:dyDescent="0.25">
      <c r="G245" s="30"/>
      <c r="AA245" s="2"/>
    </row>
    <row r="246" spans="7:27" x14ac:dyDescent="0.25">
      <c r="G246" s="30"/>
      <c r="AA246" s="2"/>
    </row>
    <row r="247" spans="7:27" x14ac:dyDescent="0.25">
      <c r="G247" s="30"/>
      <c r="AA247" s="2"/>
    </row>
    <row r="248" spans="7:27" x14ac:dyDescent="0.25">
      <c r="G248" s="30"/>
      <c r="AA248" s="2"/>
    </row>
    <row r="249" spans="7:27" x14ac:dyDescent="0.25">
      <c r="G249" s="30"/>
      <c r="AA249" s="2"/>
    </row>
    <row r="250" spans="7:27" x14ac:dyDescent="0.25">
      <c r="G250" s="30"/>
      <c r="AA250" s="2"/>
    </row>
    <row r="251" spans="7:27" x14ac:dyDescent="0.25">
      <c r="G251" s="30"/>
      <c r="AA251" s="2"/>
    </row>
    <row r="252" spans="7:27" x14ac:dyDescent="0.25">
      <c r="G252" s="30"/>
      <c r="AA252" s="2"/>
    </row>
    <row r="253" spans="7:27" x14ac:dyDescent="0.25">
      <c r="G253" s="30"/>
      <c r="AA253" s="2"/>
    </row>
    <row r="254" spans="7:27" x14ac:dyDescent="0.25">
      <c r="G254" s="30"/>
      <c r="AA254" s="2"/>
    </row>
    <row r="255" spans="7:27" x14ac:dyDescent="0.25">
      <c r="G255" s="30"/>
      <c r="AA255" s="2"/>
    </row>
    <row r="256" spans="7:27" x14ac:dyDescent="0.25">
      <c r="G256" s="30"/>
      <c r="AA256" s="2"/>
    </row>
    <row r="257" spans="7:27" x14ac:dyDescent="0.25">
      <c r="G257" s="30"/>
      <c r="AA257" s="2"/>
    </row>
    <row r="258" spans="7:27" x14ac:dyDescent="0.25">
      <c r="G258" s="30"/>
      <c r="AA258" s="2"/>
    </row>
    <row r="259" spans="7:27" x14ac:dyDescent="0.25">
      <c r="G259" s="30"/>
      <c r="AA259" s="2"/>
    </row>
    <row r="260" spans="7:27" x14ac:dyDescent="0.25">
      <c r="G260" s="30"/>
      <c r="AA260" s="2"/>
    </row>
    <row r="261" spans="7:27" x14ac:dyDescent="0.25">
      <c r="G261" s="30"/>
      <c r="AA261" s="2"/>
    </row>
    <row r="262" spans="7:27" x14ac:dyDescent="0.25">
      <c r="G262" s="30"/>
      <c r="AA262" s="2"/>
    </row>
    <row r="263" spans="7:27" x14ac:dyDescent="0.25">
      <c r="G263" s="30"/>
      <c r="AA263" s="2"/>
    </row>
    <row r="264" spans="7:27" x14ac:dyDescent="0.25">
      <c r="G264" s="30"/>
      <c r="AA264" s="2"/>
    </row>
    <row r="265" spans="7:27" x14ac:dyDescent="0.25">
      <c r="G265" s="30"/>
      <c r="AA265" s="2"/>
    </row>
    <row r="266" spans="7:27" x14ac:dyDescent="0.25">
      <c r="G266" s="30"/>
      <c r="AA266" s="2"/>
    </row>
    <row r="267" spans="7:27" x14ac:dyDescent="0.25">
      <c r="G267" s="30"/>
      <c r="AA267" s="2"/>
    </row>
    <row r="268" spans="7:27" x14ac:dyDescent="0.25">
      <c r="G268" s="30"/>
      <c r="AA268" s="2"/>
    </row>
    <row r="269" spans="7:27" x14ac:dyDescent="0.25">
      <c r="G269" s="30"/>
      <c r="AA269" s="2"/>
    </row>
    <row r="270" spans="7:27" x14ac:dyDescent="0.25">
      <c r="G270" s="30"/>
      <c r="AA270" s="2"/>
    </row>
    <row r="271" spans="7:27" x14ac:dyDescent="0.25">
      <c r="G271" s="30"/>
      <c r="AA271" s="2"/>
    </row>
    <row r="272" spans="7:27" x14ac:dyDescent="0.25">
      <c r="G272" s="30"/>
      <c r="AA272" s="2"/>
    </row>
    <row r="273" spans="7:27" x14ac:dyDescent="0.25">
      <c r="G273" s="30"/>
      <c r="AA273" s="2"/>
    </row>
  </sheetData>
  <mergeCells count="12">
    <mergeCell ref="B11:R49"/>
    <mergeCell ref="A54:A92"/>
    <mergeCell ref="B54:R92"/>
    <mergeCell ref="B97:R135"/>
    <mergeCell ref="A99:A131"/>
    <mergeCell ref="E1:O3"/>
    <mergeCell ref="E4:E5"/>
    <mergeCell ref="F4:O5"/>
    <mergeCell ref="E6:E7"/>
    <mergeCell ref="F6:O7"/>
    <mergeCell ref="E8:E9"/>
    <mergeCell ref="F8:O9"/>
  </mergeCells>
  <pageMargins left="0.19685039370078741" right="0.19685039370078741" top="0.19685039370078741" bottom="0.19685039370078741" header="0" footer="0.35433070866141736"/>
  <pageSetup paperSize="9" scale="39" fitToHeight="3" orientation="portrait" horizontalDpi="1200" verticalDpi="1200" r:id="rId1"/>
  <headerFooter alignWithMargins="0">
    <oddFooter xml:space="preserve">&amp;C&amp;18Tooshop | M. Santos | &amp;D&amp;R&amp;18Página &amp;P de &amp;N         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273"/>
  <sheetViews>
    <sheetView view="pageBreakPreview" zoomScale="37" zoomScaleNormal="70" zoomScaleSheetLayoutView="37" workbookViewId="0">
      <selection activeCell="T57" sqref="T57"/>
    </sheetView>
  </sheetViews>
  <sheetFormatPr defaultRowHeight="15" x14ac:dyDescent="0.25"/>
  <cols>
    <col min="1" max="1" width="4.7109375" style="2" customWidth="1"/>
    <col min="2" max="2" width="9.140625" style="2"/>
    <col min="3" max="4" width="15.7109375" style="2" customWidth="1"/>
    <col min="5" max="5" width="30.7109375" style="2" customWidth="1"/>
    <col min="6" max="6" width="18.7109375" style="2" customWidth="1"/>
    <col min="7" max="13" width="9.140625" style="2"/>
    <col min="14" max="14" width="25.7109375" style="2" customWidth="1"/>
    <col min="15" max="15" width="30.7109375" style="2" customWidth="1"/>
    <col min="16" max="17" width="15.7109375" style="2" customWidth="1"/>
    <col min="18" max="18" width="9.140625" style="2" customWidth="1"/>
    <col min="19" max="19" width="4.5703125" style="2" customWidth="1"/>
    <col min="20" max="20" width="50.140625" style="2" customWidth="1"/>
    <col min="21" max="21" width="6.85546875" style="2" customWidth="1"/>
    <col min="22" max="22" width="6.5703125" style="2" customWidth="1"/>
    <col min="23" max="23" width="6.7109375" style="2" customWidth="1"/>
    <col min="24" max="24" width="7.28515625" style="2" customWidth="1"/>
    <col min="25" max="25" width="9.140625" style="2"/>
    <col min="26" max="26" width="39" style="2" bestFit="1" customWidth="1"/>
    <col min="27" max="27" width="13.5703125" style="30" bestFit="1" customWidth="1"/>
    <col min="28" max="28" width="10.42578125" style="2" bestFit="1" customWidth="1"/>
    <col min="29" max="29" width="19.42578125" style="2" bestFit="1" customWidth="1"/>
    <col min="30" max="30" width="5.42578125" style="2" bestFit="1" customWidth="1"/>
    <col min="31" max="16384" width="9.140625" style="2"/>
  </cols>
  <sheetData>
    <row r="1" spans="1:30" ht="15" customHeight="1" x14ac:dyDescent="0.25">
      <c r="A1" s="13"/>
      <c r="B1" s="3"/>
      <c r="C1" s="3"/>
      <c r="D1" s="3"/>
      <c r="E1" s="116" t="s">
        <v>3</v>
      </c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3"/>
      <c r="Q1" s="3"/>
      <c r="R1" s="3"/>
      <c r="S1" s="4"/>
      <c r="T1" s="10"/>
      <c r="Z1" s="49" t="s">
        <v>4</v>
      </c>
      <c r="AA1" s="88"/>
      <c r="AB1" s="102"/>
      <c r="AC1" s="103"/>
      <c r="AD1" s="104"/>
    </row>
    <row r="2" spans="1:30" ht="15" customHeight="1" x14ac:dyDescent="0.25">
      <c r="A2" s="14"/>
      <c r="B2" s="56"/>
      <c r="C2" s="56"/>
      <c r="D2" s="56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58"/>
      <c r="Q2" s="56"/>
      <c r="R2" s="56"/>
      <c r="S2" s="6"/>
      <c r="Z2" s="50" t="s">
        <v>477</v>
      </c>
      <c r="AA2" s="89"/>
      <c r="AB2" s="95"/>
      <c r="AC2" s="95"/>
      <c r="AD2" s="105"/>
    </row>
    <row r="3" spans="1:30" ht="15" customHeight="1" x14ac:dyDescent="0.25">
      <c r="A3" s="14"/>
      <c r="B3" s="56"/>
      <c r="C3" s="56"/>
      <c r="D3" s="56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58"/>
      <c r="Q3" s="56"/>
      <c r="R3" s="56"/>
      <c r="S3" s="6"/>
      <c r="Z3" s="50" t="s">
        <v>476</v>
      </c>
      <c r="AA3" s="89"/>
      <c r="AB3" s="95"/>
      <c r="AC3" s="95"/>
      <c r="AD3" s="105"/>
    </row>
    <row r="4" spans="1:30" ht="15" customHeight="1" x14ac:dyDescent="0.25">
      <c r="A4" s="14"/>
      <c r="B4" s="56"/>
      <c r="C4" s="56"/>
      <c r="D4" s="56"/>
      <c r="E4" s="129" t="str">
        <f>"Projeto: "</f>
        <v xml:space="preserve">Projeto: </v>
      </c>
      <c r="F4" s="131" t="str">
        <f>T7</f>
        <v>VW483_EU - Passat CC</v>
      </c>
      <c r="G4" s="131"/>
      <c r="H4" s="131"/>
      <c r="I4" s="131"/>
      <c r="J4" s="131"/>
      <c r="K4" s="131"/>
      <c r="L4" s="131"/>
      <c r="M4" s="131"/>
      <c r="N4" s="131"/>
      <c r="O4" s="132"/>
      <c r="P4" s="58"/>
      <c r="Q4" s="56"/>
      <c r="R4" s="56"/>
      <c r="S4" s="6"/>
      <c r="Z4" s="50" t="s">
        <v>218</v>
      </c>
      <c r="AA4" s="89"/>
      <c r="AB4" s="95"/>
      <c r="AC4" s="95"/>
      <c r="AD4" s="105"/>
    </row>
    <row r="5" spans="1:30" ht="15" customHeight="1" x14ac:dyDescent="0.25">
      <c r="A5" s="80"/>
      <c r="B5" s="54"/>
      <c r="C5" s="55"/>
      <c r="D5" s="55"/>
      <c r="E5" s="130"/>
      <c r="F5" s="133"/>
      <c r="G5" s="133"/>
      <c r="H5" s="133"/>
      <c r="I5" s="133"/>
      <c r="J5" s="133"/>
      <c r="K5" s="133"/>
      <c r="L5" s="133"/>
      <c r="M5" s="133"/>
      <c r="N5" s="133"/>
      <c r="O5" s="134"/>
      <c r="P5" s="58"/>
      <c r="Q5" s="55"/>
      <c r="R5" s="55"/>
      <c r="S5" s="6"/>
      <c r="Z5" s="50" t="s">
        <v>475</v>
      </c>
      <c r="AA5" s="89"/>
      <c r="AB5" s="95"/>
      <c r="AC5" s="95"/>
      <c r="AD5" s="105"/>
    </row>
    <row r="6" spans="1:30" ht="15" customHeight="1" x14ac:dyDescent="0.25">
      <c r="A6" s="80"/>
      <c r="B6" s="54"/>
      <c r="C6" s="55"/>
      <c r="D6" s="55"/>
      <c r="E6" s="135" t="str">
        <f>"Peça: "</f>
        <v xml:space="preserve">Peça: </v>
      </c>
      <c r="F6" s="136" t="str">
        <f>T8</f>
        <v>3G8.823.155</v>
      </c>
      <c r="G6" s="136"/>
      <c r="H6" s="136"/>
      <c r="I6" s="136"/>
      <c r="J6" s="136"/>
      <c r="K6" s="136"/>
      <c r="L6" s="136"/>
      <c r="M6" s="136"/>
      <c r="N6" s="136"/>
      <c r="O6" s="137"/>
      <c r="P6" s="58"/>
      <c r="Q6" s="55"/>
      <c r="R6" s="55"/>
      <c r="S6" s="6"/>
      <c r="T6" s="17" t="s">
        <v>365</v>
      </c>
      <c r="Z6" s="50" t="s">
        <v>249</v>
      </c>
      <c r="AA6" s="89">
        <v>1</v>
      </c>
      <c r="AB6" s="95"/>
      <c r="AC6" s="95"/>
      <c r="AD6" s="105"/>
    </row>
    <row r="7" spans="1:30" ht="15" customHeight="1" x14ac:dyDescent="0.25">
      <c r="A7" s="80"/>
      <c r="B7" s="54"/>
      <c r="C7" s="55"/>
      <c r="D7" s="55"/>
      <c r="E7" s="130"/>
      <c r="F7" s="133"/>
      <c r="G7" s="133"/>
      <c r="H7" s="133"/>
      <c r="I7" s="133"/>
      <c r="J7" s="133"/>
      <c r="K7" s="133"/>
      <c r="L7" s="133"/>
      <c r="M7" s="133"/>
      <c r="N7" s="133"/>
      <c r="O7" s="134"/>
      <c r="P7" s="55"/>
      <c r="Q7" s="55"/>
      <c r="R7" s="55"/>
      <c r="S7" s="6"/>
      <c r="T7" s="53" t="s">
        <v>84</v>
      </c>
      <c r="Z7" s="50" t="s">
        <v>2</v>
      </c>
      <c r="AA7" s="89">
        <f>SUM(AA2:AA6)</f>
        <v>1</v>
      </c>
      <c r="AB7" s="95">
        <f>SUM(AB2:AB6)</f>
        <v>0</v>
      </c>
      <c r="AC7" s="95"/>
      <c r="AD7" s="105"/>
    </row>
    <row r="8" spans="1:30" ht="15" customHeight="1" x14ac:dyDescent="0.25">
      <c r="A8" s="15"/>
      <c r="E8" s="135" t="str">
        <f>"Ano: "</f>
        <v xml:space="preserve">Ano: </v>
      </c>
      <c r="F8" s="136">
        <f>T9</f>
        <v>2017</v>
      </c>
      <c r="G8" s="136"/>
      <c r="H8" s="136"/>
      <c r="I8" s="136"/>
      <c r="J8" s="136"/>
      <c r="K8" s="136"/>
      <c r="L8" s="136"/>
      <c r="M8" s="136"/>
      <c r="N8" s="136"/>
      <c r="O8" s="137"/>
      <c r="S8" s="6"/>
      <c r="T8" s="2" t="s">
        <v>109</v>
      </c>
      <c r="Z8" s="48" t="s">
        <v>5</v>
      </c>
      <c r="AA8" s="90"/>
      <c r="AB8" s="106"/>
      <c r="AC8" s="106"/>
      <c r="AD8" s="107"/>
    </row>
    <row r="9" spans="1:30" ht="15" customHeight="1" x14ac:dyDescent="0.25">
      <c r="A9" s="81"/>
      <c r="B9" s="57"/>
      <c r="C9" s="57"/>
      <c r="D9" s="57"/>
      <c r="E9" s="130"/>
      <c r="F9" s="133"/>
      <c r="G9" s="133"/>
      <c r="H9" s="133"/>
      <c r="I9" s="133"/>
      <c r="J9" s="133"/>
      <c r="K9" s="133"/>
      <c r="L9" s="133"/>
      <c r="M9" s="133"/>
      <c r="N9" s="133"/>
      <c r="O9" s="134"/>
      <c r="P9" s="57"/>
      <c r="Q9" s="57"/>
      <c r="R9" s="57"/>
      <c r="S9" s="6"/>
      <c r="T9" s="2">
        <v>2017</v>
      </c>
      <c r="Z9" s="44" t="s">
        <v>8</v>
      </c>
      <c r="AA9" s="91"/>
      <c r="AB9" s="108"/>
      <c r="AC9" s="108"/>
      <c r="AD9" s="109"/>
    </row>
    <row r="10" spans="1:30" x14ac:dyDescent="0.25">
      <c r="A10" s="81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6"/>
      <c r="Z10" s="44" t="s">
        <v>7</v>
      </c>
      <c r="AA10" s="91"/>
      <c r="AB10" s="108"/>
      <c r="AC10" s="108"/>
      <c r="AD10" s="109"/>
    </row>
    <row r="11" spans="1:30" ht="15" customHeight="1" x14ac:dyDescent="0.25">
      <c r="A11" s="81"/>
      <c r="B11" s="118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6"/>
      <c r="Z11" s="44" t="s">
        <v>41</v>
      </c>
      <c r="AA11" s="91"/>
      <c r="AB11" s="108"/>
      <c r="AC11" s="108"/>
      <c r="AD11" s="109"/>
    </row>
    <row r="12" spans="1:30" ht="15" customHeight="1" x14ac:dyDescent="0.25">
      <c r="A12" s="81"/>
      <c r="B12" s="118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6"/>
      <c r="Z12" s="44" t="s">
        <v>40</v>
      </c>
      <c r="AA12" s="91"/>
      <c r="AB12" s="108"/>
      <c r="AC12" s="108"/>
      <c r="AD12" s="109"/>
    </row>
    <row r="13" spans="1:30" ht="15" customHeight="1" x14ac:dyDescent="0.25">
      <c r="A13" s="81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6"/>
      <c r="T13" s="12"/>
      <c r="Z13" s="44" t="s">
        <v>1</v>
      </c>
      <c r="AA13" s="91"/>
      <c r="AB13" s="108"/>
      <c r="AC13" s="108"/>
      <c r="AD13" s="109"/>
    </row>
    <row r="14" spans="1:30" ht="15" customHeight="1" x14ac:dyDescent="0.25">
      <c r="A14" s="81"/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6"/>
      <c r="T14" s="11"/>
      <c r="Z14" s="96" t="s">
        <v>356</v>
      </c>
      <c r="AA14" s="94"/>
      <c r="AB14" s="110"/>
      <c r="AC14" s="110"/>
      <c r="AD14" s="111"/>
    </row>
    <row r="15" spans="1:30" ht="15" customHeight="1" x14ac:dyDescent="0.25">
      <c r="A15" s="81"/>
      <c r="B15" s="118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6"/>
      <c r="Z15" s="45" t="s">
        <v>353</v>
      </c>
      <c r="AA15" s="98"/>
      <c r="AB15" s="99"/>
      <c r="AC15" s="100"/>
      <c r="AD15" s="101"/>
    </row>
    <row r="16" spans="1:30" ht="15" customHeight="1" x14ac:dyDescent="0.25">
      <c r="A16" s="81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6"/>
      <c r="Z16" s="45" t="s">
        <v>185</v>
      </c>
      <c r="AA16" s="98"/>
      <c r="AB16" s="99"/>
      <c r="AC16" s="100"/>
      <c r="AD16" s="101"/>
    </row>
    <row r="17" spans="1:30" x14ac:dyDescent="0.25">
      <c r="A17" s="81"/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6"/>
      <c r="Z17" s="45" t="s">
        <v>210</v>
      </c>
      <c r="AA17" s="98"/>
      <c r="AB17" s="99"/>
      <c r="AC17" s="100"/>
      <c r="AD17" s="101"/>
    </row>
    <row r="18" spans="1:30" x14ac:dyDescent="0.25">
      <c r="A18" s="81"/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6"/>
      <c r="Z18" s="45" t="s">
        <v>354</v>
      </c>
      <c r="AA18" s="98"/>
      <c r="AB18" s="99"/>
      <c r="AC18" s="100"/>
      <c r="AD18" s="101"/>
    </row>
    <row r="19" spans="1:30" x14ac:dyDescent="0.25">
      <c r="A19" s="81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6"/>
      <c r="Z19" s="45" t="s">
        <v>46</v>
      </c>
      <c r="AA19" s="98"/>
      <c r="AB19" s="99"/>
      <c r="AC19" s="100"/>
      <c r="AD19" s="101"/>
    </row>
    <row r="20" spans="1:30" x14ac:dyDescent="0.25">
      <c r="A20" s="81"/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6"/>
      <c r="Z20" s="45" t="s">
        <v>204</v>
      </c>
      <c r="AA20" s="98"/>
      <c r="AB20" s="99"/>
      <c r="AC20" s="100"/>
      <c r="AD20" s="101">
        <v>1</v>
      </c>
    </row>
    <row r="21" spans="1:30" x14ac:dyDescent="0.25">
      <c r="A21" s="81"/>
      <c r="B21" s="118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6"/>
      <c r="Z21" s="45" t="s">
        <v>143</v>
      </c>
      <c r="AA21" s="98"/>
      <c r="AB21" s="99"/>
      <c r="AC21" s="100"/>
      <c r="AD21" s="101"/>
    </row>
    <row r="22" spans="1:30" x14ac:dyDescent="0.25">
      <c r="A22" s="81"/>
      <c r="B22" s="118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6"/>
      <c r="Z22" s="45" t="s">
        <v>147</v>
      </c>
      <c r="AA22" s="98"/>
      <c r="AB22" s="99"/>
      <c r="AC22" s="100"/>
      <c r="AD22" s="101"/>
    </row>
    <row r="23" spans="1:30" x14ac:dyDescent="0.25">
      <c r="A23" s="81"/>
      <c r="B23" s="118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6"/>
      <c r="Z23" s="45" t="s">
        <v>57</v>
      </c>
      <c r="AA23" s="98"/>
      <c r="AB23" s="99"/>
      <c r="AC23" s="100"/>
      <c r="AD23" s="101"/>
    </row>
    <row r="24" spans="1:30" x14ac:dyDescent="0.25">
      <c r="A24" s="81"/>
      <c r="B24" s="11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6"/>
      <c r="Z24" s="46" t="s">
        <v>52</v>
      </c>
      <c r="AA24" s="98"/>
      <c r="AB24" s="99"/>
      <c r="AC24" s="100"/>
      <c r="AD24" s="101"/>
    </row>
    <row r="25" spans="1:30" x14ac:dyDescent="0.25">
      <c r="A25" s="81"/>
      <c r="B25" s="118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6"/>
      <c r="Z25" s="46"/>
      <c r="AA25" s="98"/>
      <c r="AB25" s="99"/>
      <c r="AC25" s="100"/>
      <c r="AD25" s="101"/>
    </row>
    <row r="26" spans="1:30" x14ac:dyDescent="0.25">
      <c r="A26" s="81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6"/>
      <c r="Z26" s="46"/>
      <c r="AA26" s="92"/>
      <c r="AB26" s="100"/>
      <c r="AC26" s="100"/>
      <c r="AD26" s="101"/>
    </row>
    <row r="27" spans="1:30" x14ac:dyDescent="0.25">
      <c r="A27" s="81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6"/>
      <c r="Z27" s="46"/>
      <c r="AA27" s="92"/>
      <c r="AB27" s="100"/>
      <c r="AC27" s="100"/>
      <c r="AD27" s="101"/>
    </row>
    <row r="28" spans="1:30" x14ac:dyDescent="0.25">
      <c r="A28" s="81"/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6"/>
      <c r="Z28" s="97"/>
      <c r="AA28" s="92" t="s">
        <v>8</v>
      </c>
      <c r="AB28" s="100" t="s">
        <v>7</v>
      </c>
      <c r="AC28" s="100" t="s">
        <v>41</v>
      </c>
      <c r="AD28" s="101" t="s">
        <v>479</v>
      </c>
    </row>
    <row r="29" spans="1:30" x14ac:dyDescent="0.25">
      <c r="A29" s="81"/>
      <c r="B29" s="118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6"/>
      <c r="Z29" s="46"/>
      <c r="AA29" s="92"/>
      <c r="AB29" s="100"/>
      <c r="AC29" s="100"/>
      <c r="AD29" s="101"/>
    </row>
    <row r="30" spans="1:30" x14ac:dyDescent="0.25">
      <c r="A30" s="81"/>
      <c r="B30" s="118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6"/>
      <c r="Z30" s="46"/>
      <c r="AA30" s="92"/>
      <c r="AB30" s="100"/>
      <c r="AC30" s="100"/>
      <c r="AD30" s="101"/>
    </row>
    <row r="31" spans="1:30" x14ac:dyDescent="0.25">
      <c r="A31" s="81"/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6"/>
      <c r="Z31" s="46"/>
      <c r="AA31" s="92"/>
      <c r="AB31" s="100"/>
      <c r="AC31" s="100"/>
      <c r="AD31" s="101"/>
    </row>
    <row r="32" spans="1:30" x14ac:dyDescent="0.25">
      <c r="A32" s="81"/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6"/>
      <c r="Z32" s="46"/>
      <c r="AA32" s="92"/>
      <c r="AB32" s="100"/>
      <c r="AC32" s="100"/>
      <c r="AD32" s="101"/>
    </row>
    <row r="33" spans="1:30" x14ac:dyDescent="0.25">
      <c r="A33" s="81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6"/>
      <c r="Z33" s="46"/>
      <c r="AA33" s="92"/>
      <c r="AB33" s="100"/>
      <c r="AC33" s="100"/>
      <c r="AD33" s="101"/>
    </row>
    <row r="34" spans="1:30" x14ac:dyDescent="0.25">
      <c r="A34" s="81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6"/>
      <c r="Z34" s="97"/>
      <c r="AA34" s="92"/>
      <c r="AB34" s="100"/>
      <c r="AC34" s="100"/>
      <c r="AD34" s="101"/>
    </row>
    <row r="35" spans="1:30" x14ac:dyDescent="0.25">
      <c r="A35" s="81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6"/>
      <c r="Z35" s="46"/>
      <c r="AA35" s="92"/>
      <c r="AB35" s="100"/>
      <c r="AC35" s="100"/>
      <c r="AD35" s="101"/>
    </row>
    <row r="36" spans="1:30" x14ac:dyDescent="0.25">
      <c r="A36" s="81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6"/>
      <c r="Z36" s="46"/>
      <c r="AA36" s="92"/>
      <c r="AB36" s="100"/>
      <c r="AC36" s="100"/>
      <c r="AD36" s="101"/>
    </row>
    <row r="37" spans="1:30" x14ac:dyDescent="0.25">
      <c r="A37" s="81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6"/>
      <c r="Z37" s="46"/>
      <c r="AA37" s="92"/>
      <c r="AB37" s="100"/>
      <c r="AC37" s="100"/>
      <c r="AD37" s="101"/>
    </row>
    <row r="38" spans="1:30" x14ac:dyDescent="0.25">
      <c r="A38" s="81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6"/>
      <c r="Z38" s="46"/>
      <c r="AA38" s="92"/>
      <c r="AB38" s="100"/>
      <c r="AC38" s="100"/>
      <c r="AD38" s="101"/>
    </row>
    <row r="39" spans="1:30" ht="15.75" thickBot="1" x14ac:dyDescent="0.3">
      <c r="A39" s="81"/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6"/>
      <c r="Z39" s="47"/>
      <c r="AA39" s="93"/>
      <c r="AB39" s="112"/>
      <c r="AC39" s="112"/>
      <c r="AD39" s="113"/>
    </row>
    <row r="40" spans="1:30" x14ac:dyDescent="0.25">
      <c r="A40" s="81"/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6"/>
    </row>
    <row r="41" spans="1:30" x14ac:dyDescent="0.25">
      <c r="A41" s="81"/>
      <c r="B41" s="118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6"/>
    </row>
    <row r="42" spans="1:30" x14ac:dyDescent="0.25">
      <c r="A42" s="5"/>
      <c r="B42" s="118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6"/>
    </row>
    <row r="43" spans="1:30" x14ac:dyDescent="0.25">
      <c r="A43" s="5"/>
      <c r="B43" s="118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6"/>
    </row>
    <row r="44" spans="1:30" x14ac:dyDescent="0.25">
      <c r="A44" s="5"/>
      <c r="B44" s="118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6"/>
    </row>
    <row r="45" spans="1:30" x14ac:dyDescent="0.25">
      <c r="A45" s="5"/>
      <c r="B45" s="118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8"/>
      <c r="Q45" s="118"/>
      <c r="R45" s="118"/>
      <c r="S45" s="6"/>
    </row>
    <row r="46" spans="1:30" x14ac:dyDescent="0.25">
      <c r="A46" s="15"/>
      <c r="B46" s="118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6"/>
    </row>
    <row r="47" spans="1:30" ht="15" customHeight="1" x14ac:dyDescent="0.25">
      <c r="A47" s="14"/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6"/>
    </row>
    <row r="48" spans="1:30" ht="15" customHeight="1" x14ac:dyDescent="0.25">
      <c r="A48" s="14"/>
      <c r="B48" s="118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6"/>
    </row>
    <row r="49" spans="1:19" ht="15" customHeight="1" x14ac:dyDescent="0.25">
      <c r="A49" s="14"/>
      <c r="B49" s="118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6"/>
    </row>
    <row r="50" spans="1:19" ht="15" customHeight="1" x14ac:dyDescent="0.25">
      <c r="A50" s="80"/>
      <c r="B50" s="54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6"/>
    </row>
    <row r="51" spans="1:19" ht="15" customHeight="1" x14ac:dyDescent="0.25">
      <c r="A51" s="80"/>
      <c r="B51" s="59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"/>
    </row>
    <row r="52" spans="1:19" ht="15" customHeight="1" x14ac:dyDescent="0.25">
      <c r="A52" s="80"/>
      <c r="B52" s="54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6"/>
    </row>
    <row r="53" spans="1:19" x14ac:dyDescent="0.25">
      <c r="A53" s="15"/>
      <c r="S53" s="6"/>
    </row>
    <row r="54" spans="1:19" ht="15" customHeight="1" x14ac:dyDescent="0.25">
      <c r="A54" s="127" t="s">
        <v>163</v>
      </c>
      <c r="B54" s="118"/>
      <c r="C54" s="118"/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6"/>
    </row>
    <row r="55" spans="1:19" x14ac:dyDescent="0.25">
      <c r="A55" s="127"/>
      <c r="B55" s="118"/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6"/>
    </row>
    <row r="56" spans="1:19" x14ac:dyDescent="0.25">
      <c r="A56" s="127"/>
      <c r="B56" s="118"/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6"/>
    </row>
    <row r="57" spans="1:19" x14ac:dyDescent="0.25">
      <c r="A57" s="127"/>
      <c r="B57" s="118"/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6"/>
    </row>
    <row r="58" spans="1:19" x14ac:dyDescent="0.25">
      <c r="A58" s="127"/>
      <c r="B58" s="118"/>
      <c r="C58" s="118"/>
      <c r="D58" s="118"/>
      <c r="E58" s="118"/>
      <c r="F58" s="118"/>
      <c r="G58" s="118"/>
      <c r="H58" s="118"/>
      <c r="I58" s="118"/>
      <c r="J58" s="118"/>
      <c r="K58" s="118"/>
      <c r="L58" s="118"/>
      <c r="M58" s="118"/>
      <c r="N58" s="118"/>
      <c r="O58" s="118"/>
      <c r="P58" s="118"/>
      <c r="Q58" s="118"/>
      <c r="R58" s="118"/>
      <c r="S58" s="6"/>
    </row>
    <row r="59" spans="1:19" x14ac:dyDescent="0.25">
      <c r="A59" s="127"/>
      <c r="B59" s="118"/>
      <c r="C59" s="118"/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6"/>
    </row>
    <row r="60" spans="1:19" x14ac:dyDescent="0.25">
      <c r="A60" s="127"/>
      <c r="B60" s="118"/>
      <c r="C60" s="118"/>
      <c r="D60" s="118"/>
      <c r="E60" s="118"/>
      <c r="F60" s="118"/>
      <c r="G60" s="118"/>
      <c r="H60" s="118"/>
      <c r="I60" s="118"/>
      <c r="J60" s="118"/>
      <c r="K60" s="118"/>
      <c r="L60" s="118"/>
      <c r="M60" s="118"/>
      <c r="N60" s="118"/>
      <c r="O60" s="118"/>
      <c r="P60" s="118"/>
      <c r="Q60" s="118"/>
      <c r="R60" s="118"/>
      <c r="S60" s="6"/>
    </row>
    <row r="61" spans="1:19" x14ac:dyDescent="0.25">
      <c r="A61" s="127"/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6"/>
    </row>
    <row r="62" spans="1:19" x14ac:dyDescent="0.25">
      <c r="A62" s="127"/>
      <c r="B62" s="118"/>
      <c r="C62" s="118"/>
      <c r="D62" s="118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6"/>
    </row>
    <row r="63" spans="1:19" x14ac:dyDescent="0.25">
      <c r="A63" s="127"/>
      <c r="B63" s="118"/>
      <c r="C63" s="118"/>
      <c r="D63" s="118"/>
      <c r="E63" s="118"/>
      <c r="F63" s="118"/>
      <c r="G63" s="118"/>
      <c r="H63" s="118"/>
      <c r="I63" s="118"/>
      <c r="J63" s="118"/>
      <c r="K63" s="118"/>
      <c r="L63" s="118"/>
      <c r="M63" s="118"/>
      <c r="N63" s="118"/>
      <c r="O63" s="118"/>
      <c r="P63" s="118"/>
      <c r="Q63" s="118"/>
      <c r="R63" s="118"/>
      <c r="S63" s="6"/>
    </row>
    <row r="64" spans="1:19" x14ac:dyDescent="0.25">
      <c r="A64" s="127"/>
      <c r="B64" s="118"/>
      <c r="C64" s="118"/>
      <c r="D64" s="118"/>
      <c r="E64" s="118"/>
      <c r="F64" s="118"/>
      <c r="G64" s="118"/>
      <c r="H64" s="118"/>
      <c r="I64" s="118"/>
      <c r="J64" s="118"/>
      <c r="K64" s="118"/>
      <c r="L64" s="118"/>
      <c r="M64" s="118"/>
      <c r="N64" s="118"/>
      <c r="O64" s="118"/>
      <c r="P64" s="118"/>
      <c r="Q64" s="118"/>
      <c r="R64" s="118"/>
      <c r="S64" s="6"/>
    </row>
    <row r="65" spans="1:19" x14ac:dyDescent="0.25">
      <c r="A65" s="127"/>
      <c r="B65" s="118"/>
      <c r="C65" s="118"/>
      <c r="D65" s="118"/>
      <c r="E65" s="118"/>
      <c r="F65" s="118"/>
      <c r="G65" s="118"/>
      <c r="H65" s="118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6"/>
    </row>
    <row r="66" spans="1:19" x14ac:dyDescent="0.25">
      <c r="A66" s="127"/>
      <c r="B66" s="118"/>
      <c r="C66" s="118"/>
      <c r="D66" s="118"/>
      <c r="E66" s="118"/>
      <c r="F66" s="118"/>
      <c r="G66" s="118"/>
      <c r="H66" s="118"/>
      <c r="I66" s="118"/>
      <c r="J66" s="118"/>
      <c r="K66" s="118"/>
      <c r="L66" s="118"/>
      <c r="M66" s="118"/>
      <c r="N66" s="118"/>
      <c r="O66" s="118"/>
      <c r="P66" s="118"/>
      <c r="Q66" s="118"/>
      <c r="R66" s="118"/>
      <c r="S66" s="6"/>
    </row>
    <row r="67" spans="1:19" x14ac:dyDescent="0.25">
      <c r="A67" s="127"/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6"/>
    </row>
    <row r="68" spans="1:19" x14ac:dyDescent="0.25">
      <c r="A68" s="127"/>
      <c r="B68" s="118"/>
      <c r="C68" s="118"/>
      <c r="D68" s="118"/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118"/>
      <c r="Q68" s="118"/>
      <c r="R68" s="118"/>
      <c r="S68" s="6"/>
    </row>
    <row r="69" spans="1:19" x14ac:dyDescent="0.25">
      <c r="A69" s="127"/>
      <c r="B69" s="118"/>
      <c r="C69" s="118"/>
      <c r="D69" s="118"/>
      <c r="E69" s="118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118"/>
      <c r="Q69" s="118"/>
      <c r="R69" s="118"/>
      <c r="S69" s="6"/>
    </row>
    <row r="70" spans="1:19" x14ac:dyDescent="0.25">
      <c r="A70" s="127"/>
      <c r="B70" s="118"/>
      <c r="C70" s="118"/>
      <c r="D70" s="118"/>
      <c r="E70" s="118"/>
      <c r="F70" s="118"/>
      <c r="G70" s="118"/>
      <c r="H70" s="118"/>
      <c r="I70" s="118"/>
      <c r="J70" s="118"/>
      <c r="K70" s="118"/>
      <c r="L70" s="118"/>
      <c r="M70" s="118"/>
      <c r="N70" s="118"/>
      <c r="O70" s="118"/>
      <c r="P70" s="118"/>
      <c r="Q70" s="118"/>
      <c r="R70" s="118"/>
      <c r="S70" s="6"/>
    </row>
    <row r="71" spans="1:19" x14ac:dyDescent="0.25">
      <c r="A71" s="127"/>
      <c r="B71" s="118"/>
      <c r="C71" s="118"/>
      <c r="D71" s="118"/>
      <c r="E71" s="118"/>
      <c r="F71" s="118"/>
      <c r="G71" s="118"/>
      <c r="H71" s="118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6"/>
    </row>
    <row r="72" spans="1:19" x14ac:dyDescent="0.25">
      <c r="A72" s="127"/>
      <c r="B72" s="118"/>
      <c r="C72" s="118"/>
      <c r="D72" s="118"/>
      <c r="E72" s="118"/>
      <c r="F72" s="118"/>
      <c r="G72" s="118"/>
      <c r="H72" s="118"/>
      <c r="I72" s="118"/>
      <c r="J72" s="118"/>
      <c r="K72" s="118"/>
      <c r="L72" s="118"/>
      <c r="M72" s="118"/>
      <c r="N72" s="118"/>
      <c r="O72" s="118"/>
      <c r="P72" s="118"/>
      <c r="Q72" s="118"/>
      <c r="R72" s="118"/>
      <c r="S72" s="6"/>
    </row>
    <row r="73" spans="1:19" x14ac:dyDescent="0.25">
      <c r="A73" s="127"/>
      <c r="B73" s="118"/>
      <c r="C73" s="118"/>
      <c r="D73" s="118"/>
      <c r="E73" s="118"/>
      <c r="F73" s="118"/>
      <c r="G73" s="118"/>
      <c r="H73" s="118"/>
      <c r="I73" s="118"/>
      <c r="J73" s="118"/>
      <c r="K73" s="118"/>
      <c r="L73" s="118"/>
      <c r="M73" s="118"/>
      <c r="N73" s="118"/>
      <c r="O73" s="118"/>
      <c r="P73" s="118"/>
      <c r="Q73" s="118"/>
      <c r="R73" s="118"/>
      <c r="S73" s="6"/>
    </row>
    <row r="74" spans="1:19" x14ac:dyDescent="0.25">
      <c r="A74" s="127"/>
      <c r="B74" s="118"/>
      <c r="C74" s="118"/>
      <c r="D74" s="118"/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6"/>
    </row>
    <row r="75" spans="1:19" x14ac:dyDescent="0.25">
      <c r="A75" s="127"/>
      <c r="B75" s="118"/>
      <c r="C75" s="118"/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6"/>
    </row>
    <row r="76" spans="1:19" x14ac:dyDescent="0.25">
      <c r="A76" s="127"/>
      <c r="B76" s="118"/>
      <c r="C76" s="118"/>
      <c r="D76" s="118"/>
      <c r="E76" s="118"/>
      <c r="F76" s="118"/>
      <c r="G76" s="118"/>
      <c r="H76" s="118"/>
      <c r="I76" s="118"/>
      <c r="J76" s="118"/>
      <c r="K76" s="118"/>
      <c r="L76" s="118"/>
      <c r="M76" s="118"/>
      <c r="N76" s="118"/>
      <c r="O76" s="118"/>
      <c r="P76" s="118"/>
      <c r="Q76" s="118"/>
      <c r="R76" s="118"/>
      <c r="S76" s="6"/>
    </row>
    <row r="77" spans="1:19" x14ac:dyDescent="0.25">
      <c r="A77" s="127"/>
      <c r="B77" s="118"/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6"/>
    </row>
    <row r="78" spans="1:19" x14ac:dyDescent="0.25">
      <c r="A78" s="127"/>
      <c r="B78" s="118"/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6"/>
    </row>
    <row r="79" spans="1:19" x14ac:dyDescent="0.25">
      <c r="A79" s="127"/>
      <c r="B79" s="118"/>
      <c r="C79" s="118"/>
      <c r="D79" s="118"/>
      <c r="E79" s="118"/>
      <c r="F79" s="118"/>
      <c r="G79" s="118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6"/>
    </row>
    <row r="80" spans="1:19" x14ac:dyDescent="0.25">
      <c r="A80" s="127"/>
      <c r="B80" s="118"/>
      <c r="C80" s="118"/>
      <c r="D80" s="118"/>
      <c r="E80" s="118"/>
      <c r="F80" s="118"/>
      <c r="G80" s="118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6"/>
    </row>
    <row r="81" spans="1:26" x14ac:dyDescent="0.25">
      <c r="A81" s="127"/>
      <c r="B81" s="118"/>
      <c r="C81" s="118"/>
      <c r="D81" s="118"/>
      <c r="E81" s="118"/>
      <c r="F81" s="118"/>
      <c r="G81" s="118"/>
      <c r="H81" s="118"/>
      <c r="I81" s="118"/>
      <c r="J81" s="118"/>
      <c r="K81" s="118"/>
      <c r="L81" s="118"/>
      <c r="M81" s="118"/>
      <c r="N81" s="118"/>
      <c r="O81" s="118"/>
      <c r="P81" s="118"/>
      <c r="Q81" s="118"/>
      <c r="R81" s="118"/>
      <c r="S81" s="6"/>
    </row>
    <row r="82" spans="1:26" x14ac:dyDescent="0.25">
      <c r="A82" s="127"/>
      <c r="B82" s="118"/>
      <c r="C82" s="118"/>
      <c r="D82" s="118"/>
      <c r="E82" s="118"/>
      <c r="F82" s="118"/>
      <c r="G82" s="118"/>
      <c r="H82" s="118"/>
      <c r="I82" s="118"/>
      <c r="J82" s="118"/>
      <c r="K82" s="118"/>
      <c r="L82" s="118"/>
      <c r="M82" s="118"/>
      <c r="N82" s="118"/>
      <c r="O82" s="118"/>
      <c r="P82" s="118"/>
      <c r="Q82" s="118"/>
      <c r="R82" s="118"/>
      <c r="S82" s="6"/>
    </row>
    <row r="83" spans="1:26" x14ac:dyDescent="0.25">
      <c r="A83" s="127"/>
      <c r="B83" s="118"/>
      <c r="C83" s="118"/>
      <c r="D83" s="118"/>
      <c r="E83" s="118"/>
      <c r="F83" s="118"/>
      <c r="G83" s="118"/>
      <c r="H83" s="118"/>
      <c r="I83" s="118"/>
      <c r="J83" s="118"/>
      <c r="K83" s="118"/>
      <c r="L83" s="118"/>
      <c r="M83" s="118"/>
      <c r="N83" s="118"/>
      <c r="O83" s="118"/>
      <c r="P83" s="118"/>
      <c r="Q83" s="118"/>
      <c r="R83" s="118"/>
      <c r="S83" s="6"/>
    </row>
    <row r="84" spans="1:26" x14ac:dyDescent="0.25">
      <c r="A84" s="127"/>
      <c r="B84" s="118"/>
      <c r="C84" s="118"/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118"/>
      <c r="Q84" s="118"/>
      <c r="R84" s="118"/>
      <c r="S84" s="6"/>
    </row>
    <row r="85" spans="1:26" x14ac:dyDescent="0.25">
      <c r="A85" s="127"/>
      <c r="B85" s="118"/>
      <c r="C85" s="118"/>
      <c r="D85" s="118"/>
      <c r="E85" s="118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118"/>
      <c r="Q85" s="118"/>
      <c r="R85" s="118"/>
      <c r="S85" s="6"/>
    </row>
    <row r="86" spans="1:26" x14ac:dyDescent="0.25">
      <c r="A86" s="127"/>
      <c r="B86" s="118"/>
      <c r="C86" s="118"/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8"/>
      <c r="Q86" s="118"/>
      <c r="R86" s="118"/>
      <c r="S86" s="6"/>
      <c r="Z86" s="30"/>
    </row>
    <row r="87" spans="1:26" x14ac:dyDescent="0.25">
      <c r="A87" s="127"/>
      <c r="B87" s="118"/>
      <c r="C87" s="118"/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118"/>
      <c r="Q87" s="118"/>
      <c r="R87" s="118"/>
      <c r="S87" s="6"/>
    </row>
    <row r="88" spans="1:26" x14ac:dyDescent="0.25">
      <c r="A88" s="127"/>
      <c r="B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6"/>
    </row>
    <row r="89" spans="1:26" x14ac:dyDescent="0.25">
      <c r="A89" s="127"/>
      <c r="B89" s="11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18"/>
      <c r="O89" s="118"/>
      <c r="P89" s="118"/>
      <c r="Q89" s="118"/>
      <c r="R89" s="118"/>
      <c r="S89" s="6"/>
    </row>
    <row r="90" spans="1:26" x14ac:dyDescent="0.25">
      <c r="A90" s="127"/>
      <c r="B90" s="118"/>
      <c r="C90" s="118"/>
      <c r="D90" s="118"/>
      <c r="E90" s="118"/>
      <c r="F90" s="118"/>
      <c r="G90" s="118"/>
      <c r="H90" s="118"/>
      <c r="I90" s="118"/>
      <c r="J90" s="118"/>
      <c r="K90" s="118"/>
      <c r="L90" s="118"/>
      <c r="M90" s="118"/>
      <c r="N90" s="118"/>
      <c r="O90" s="118"/>
      <c r="P90" s="118"/>
      <c r="Q90" s="118"/>
      <c r="R90" s="118"/>
      <c r="S90" s="76"/>
    </row>
    <row r="91" spans="1:26" x14ac:dyDescent="0.25">
      <c r="A91" s="127"/>
      <c r="B91" s="118"/>
      <c r="C91" s="118"/>
      <c r="D91" s="118"/>
      <c r="E91" s="118"/>
      <c r="F91" s="118"/>
      <c r="G91" s="118"/>
      <c r="H91" s="118"/>
      <c r="I91" s="118"/>
      <c r="J91" s="118"/>
      <c r="K91" s="118"/>
      <c r="L91" s="118"/>
      <c r="M91" s="118"/>
      <c r="N91" s="118"/>
      <c r="O91" s="118"/>
      <c r="P91" s="118"/>
      <c r="Q91" s="118"/>
      <c r="R91" s="118"/>
      <c r="S91" s="77"/>
    </row>
    <row r="92" spans="1:26" ht="15" customHeight="1" x14ac:dyDescent="0.25">
      <c r="A92" s="127"/>
      <c r="B92" s="118"/>
      <c r="C92" s="118"/>
      <c r="D92" s="118"/>
      <c r="E92" s="118"/>
      <c r="F92" s="118"/>
      <c r="G92" s="118"/>
      <c r="H92" s="118"/>
      <c r="I92" s="118"/>
      <c r="J92" s="118"/>
      <c r="K92" s="118"/>
      <c r="L92" s="118"/>
      <c r="M92" s="118"/>
      <c r="N92" s="118"/>
      <c r="O92" s="118"/>
      <c r="P92" s="118"/>
      <c r="Q92" s="118"/>
      <c r="R92" s="118"/>
      <c r="S92" s="77"/>
    </row>
    <row r="93" spans="1:26" ht="15" customHeight="1" x14ac:dyDescent="0.25">
      <c r="A93" s="14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77"/>
    </row>
    <row r="94" spans="1:26" ht="15" customHeight="1" x14ac:dyDescent="0.25">
      <c r="A94" s="14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77"/>
    </row>
    <row r="95" spans="1:26" ht="15" customHeight="1" x14ac:dyDescent="0.25">
      <c r="A95" s="80"/>
      <c r="B95" s="54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77"/>
    </row>
    <row r="96" spans="1:26" ht="15" customHeight="1" x14ac:dyDescent="0.25">
      <c r="A96" s="80"/>
      <c r="B96" s="54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77"/>
    </row>
    <row r="97" spans="1:19" ht="15" customHeight="1" x14ac:dyDescent="0.25">
      <c r="A97" s="80"/>
      <c r="B97" s="125"/>
      <c r="C97" s="125"/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77"/>
    </row>
    <row r="98" spans="1:19" ht="15" customHeight="1" x14ac:dyDescent="0.25">
      <c r="A98" s="82"/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77"/>
    </row>
    <row r="99" spans="1:19" ht="15" customHeight="1" x14ac:dyDescent="0.25">
      <c r="A99" s="128"/>
      <c r="B99" s="125"/>
      <c r="C99" s="125"/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6"/>
    </row>
    <row r="100" spans="1:19" ht="15" customHeight="1" x14ac:dyDescent="0.25">
      <c r="A100" s="128"/>
      <c r="B100" s="125"/>
      <c r="C100" s="125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6"/>
    </row>
    <row r="101" spans="1:19" ht="15" customHeight="1" x14ac:dyDescent="0.25">
      <c r="A101" s="128"/>
      <c r="B101" s="125"/>
      <c r="C101" s="125"/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6"/>
    </row>
    <row r="102" spans="1:19" ht="15" customHeight="1" x14ac:dyDescent="0.25">
      <c r="A102" s="128"/>
      <c r="B102" s="125"/>
      <c r="C102" s="125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6"/>
    </row>
    <row r="103" spans="1:19" ht="15" customHeight="1" x14ac:dyDescent="0.25">
      <c r="A103" s="128"/>
      <c r="B103" s="125"/>
      <c r="C103" s="125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6"/>
    </row>
    <row r="104" spans="1:19" ht="15" customHeight="1" x14ac:dyDescent="0.25">
      <c r="A104" s="128"/>
      <c r="B104" s="125"/>
      <c r="C104" s="125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6"/>
    </row>
    <row r="105" spans="1:19" ht="15" customHeight="1" x14ac:dyDescent="0.25">
      <c r="A105" s="128"/>
      <c r="B105" s="125"/>
      <c r="C105" s="125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6"/>
    </row>
    <row r="106" spans="1:19" ht="15" customHeight="1" x14ac:dyDescent="0.25">
      <c r="A106" s="128"/>
      <c r="B106" s="125"/>
      <c r="C106" s="125"/>
      <c r="D106" s="125"/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6"/>
    </row>
    <row r="107" spans="1:19" ht="15" customHeight="1" x14ac:dyDescent="0.25">
      <c r="A107" s="128"/>
      <c r="B107" s="125"/>
      <c r="C107" s="125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6"/>
    </row>
    <row r="108" spans="1:19" ht="15" customHeight="1" x14ac:dyDescent="0.25">
      <c r="A108" s="128"/>
      <c r="B108" s="125"/>
      <c r="C108" s="125"/>
      <c r="D108" s="125"/>
      <c r="E108" s="125"/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6"/>
    </row>
    <row r="109" spans="1:19" ht="15" customHeight="1" x14ac:dyDescent="0.25">
      <c r="A109" s="128"/>
      <c r="B109" s="125"/>
      <c r="C109" s="125"/>
      <c r="D109" s="125"/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6"/>
    </row>
    <row r="110" spans="1:19" ht="15" customHeight="1" x14ac:dyDescent="0.25">
      <c r="A110" s="128"/>
      <c r="B110" s="125"/>
      <c r="C110" s="125"/>
      <c r="D110" s="125"/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6"/>
    </row>
    <row r="111" spans="1:19" ht="15" customHeight="1" x14ac:dyDescent="0.25">
      <c r="A111" s="128"/>
      <c r="B111" s="125"/>
      <c r="C111" s="125"/>
      <c r="D111" s="125"/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6"/>
    </row>
    <row r="112" spans="1:19" ht="15" customHeight="1" x14ac:dyDescent="0.25">
      <c r="A112" s="128"/>
      <c r="B112" s="125"/>
      <c r="C112" s="125"/>
      <c r="D112" s="125"/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6"/>
    </row>
    <row r="113" spans="1:19" ht="15" customHeight="1" x14ac:dyDescent="0.25">
      <c r="A113" s="128"/>
      <c r="B113" s="125"/>
      <c r="C113" s="125"/>
      <c r="D113" s="125"/>
      <c r="E113" s="125"/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6"/>
    </row>
    <row r="114" spans="1:19" ht="15" customHeight="1" x14ac:dyDescent="0.25">
      <c r="A114" s="128"/>
      <c r="B114" s="125"/>
      <c r="C114" s="125"/>
      <c r="D114" s="125"/>
      <c r="E114" s="125"/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6"/>
    </row>
    <row r="115" spans="1:19" ht="15" customHeight="1" x14ac:dyDescent="0.25">
      <c r="A115" s="128"/>
      <c r="B115" s="125"/>
      <c r="C115" s="125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6"/>
    </row>
    <row r="116" spans="1:19" ht="15" customHeight="1" x14ac:dyDescent="0.25">
      <c r="A116" s="128"/>
      <c r="B116" s="125"/>
      <c r="C116" s="125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6"/>
    </row>
    <row r="117" spans="1:19" ht="15" customHeight="1" x14ac:dyDescent="0.25">
      <c r="A117" s="128"/>
      <c r="B117" s="125"/>
      <c r="C117" s="125"/>
      <c r="D117" s="125"/>
      <c r="E117" s="125"/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6"/>
    </row>
    <row r="118" spans="1:19" ht="15" customHeight="1" x14ac:dyDescent="0.25">
      <c r="A118" s="128"/>
      <c r="B118" s="125"/>
      <c r="C118" s="125"/>
      <c r="D118" s="125"/>
      <c r="E118" s="125"/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6"/>
    </row>
    <row r="119" spans="1:19" ht="15" customHeight="1" x14ac:dyDescent="0.25">
      <c r="A119" s="128"/>
      <c r="B119" s="125"/>
      <c r="C119" s="125"/>
      <c r="D119" s="125"/>
      <c r="E119" s="125"/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6"/>
    </row>
    <row r="120" spans="1:19" ht="15" customHeight="1" x14ac:dyDescent="0.25">
      <c r="A120" s="128"/>
      <c r="B120" s="125"/>
      <c r="C120" s="125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6"/>
    </row>
    <row r="121" spans="1:19" ht="15" customHeight="1" x14ac:dyDescent="0.25">
      <c r="A121" s="128"/>
      <c r="B121" s="125"/>
      <c r="C121" s="125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6"/>
    </row>
    <row r="122" spans="1:19" ht="15" customHeight="1" x14ac:dyDescent="0.25">
      <c r="A122" s="128"/>
      <c r="B122" s="125"/>
      <c r="C122" s="125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6"/>
    </row>
    <row r="123" spans="1:19" ht="15" customHeight="1" x14ac:dyDescent="0.25">
      <c r="A123" s="128"/>
      <c r="B123" s="125"/>
      <c r="C123" s="125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6"/>
    </row>
    <row r="124" spans="1:19" ht="15" customHeight="1" x14ac:dyDescent="0.25">
      <c r="A124" s="128"/>
      <c r="B124" s="125"/>
      <c r="C124" s="125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6"/>
    </row>
    <row r="125" spans="1:19" ht="15" customHeight="1" x14ac:dyDescent="0.25">
      <c r="A125" s="128"/>
      <c r="B125" s="125"/>
      <c r="C125" s="125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6"/>
    </row>
    <row r="126" spans="1:19" ht="15" customHeight="1" x14ac:dyDescent="0.25">
      <c r="A126" s="128"/>
      <c r="B126" s="125"/>
      <c r="C126" s="125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6"/>
    </row>
    <row r="127" spans="1:19" ht="15" customHeight="1" x14ac:dyDescent="0.25">
      <c r="A127" s="128"/>
      <c r="B127" s="125"/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6"/>
    </row>
    <row r="128" spans="1:19" ht="15" customHeight="1" x14ac:dyDescent="0.25">
      <c r="A128" s="128"/>
      <c r="B128" s="125"/>
      <c r="C128" s="125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6"/>
    </row>
    <row r="129" spans="1:27" ht="15" customHeight="1" x14ac:dyDescent="0.25">
      <c r="A129" s="128"/>
      <c r="B129" s="125"/>
      <c r="C129" s="125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6"/>
    </row>
    <row r="130" spans="1:27" ht="15" customHeight="1" x14ac:dyDescent="0.25">
      <c r="A130" s="128"/>
      <c r="B130" s="125"/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6"/>
    </row>
    <row r="131" spans="1:27" ht="15" customHeight="1" x14ac:dyDescent="0.25">
      <c r="A131" s="128"/>
      <c r="B131" s="125"/>
      <c r="C131" s="125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6"/>
    </row>
    <row r="132" spans="1:27" ht="15" customHeight="1" x14ac:dyDescent="0.25">
      <c r="A132" s="5"/>
      <c r="B132" s="125"/>
      <c r="C132" s="125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6"/>
    </row>
    <row r="133" spans="1:27" ht="15" customHeight="1" x14ac:dyDescent="0.25">
      <c r="A133" s="5"/>
      <c r="B133" s="125"/>
      <c r="C133" s="125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6"/>
    </row>
    <row r="134" spans="1:27" ht="15" customHeight="1" x14ac:dyDescent="0.25">
      <c r="A134" s="5"/>
      <c r="B134" s="125"/>
      <c r="C134" s="125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6"/>
    </row>
    <row r="135" spans="1:27" ht="15" customHeight="1" x14ac:dyDescent="0.25">
      <c r="A135" s="5"/>
      <c r="B135" s="125"/>
      <c r="C135" s="125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6"/>
    </row>
    <row r="136" spans="1:27" x14ac:dyDescent="0.25">
      <c r="A136" s="15"/>
      <c r="S136" s="6"/>
    </row>
    <row r="137" spans="1:27" ht="15" customHeight="1" x14ac:dyDescent="0.25">
      <c r="A137" s="14"/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6"/>
    </row>
    <row r="138" spans="1:27" ht="15" customHeight="1" x14ac:dyDescent="0.25">
      <c r="A138" s="14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6"/>
    </row>
    <row r="139" spans="1:27" ht="15" customHeight="1" x14ac:dyDescent="0.25">
      <c r="A139" s="14"/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6"/>
    </row>
    <row r="140" spans="1:27" ht="15" customHeight="1" x14ac:dyDescent="0.25">
      <c r="A140" s="80"/>
      <c r="B140" s="54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76"/>
    </row>
    <row r="141" spans="1:27" ht="15" customHeight="1" x14ac:dyDescent="0.25">
      <c r="A141" s="80"/>
      <c r="B141" s="54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76"/>
    </row>
    <row r="142" spans="1:27" ht="15" customHeight="1" x14ac:dyDescent="0.25">
      <c r="A142" s="83"/>
      <c r="B142" s="59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78"/>
    </row>
    <row r="143" spans="1:27" x14ac:dyDescent="0.25">
      <c r="G143" s="30"/>
      <c r="AA143" s="2"/>
    </row>
    <row r="144" spans="1:27" ht="15" customHeight="1" x14ac:dyDescent="0.25">
      <c r="G144" s="30"/>
      <c r="AA144" s="2"/>
    </row>
    <row r="145" spans="7:27" x14ac:dyDescent="0.25">
      <c r="G145" s="30"/>
      <c r="AA145" s="2"/>
    </row>
    <row r="146" spans="7:27" x14ac:dyDescent="0.25">
      <c r="G146" s="30"/>
      <c r="AA146" s="2"/>
    </row>
    <row r="147" spans="7:27" x14ac:dyDescent="0.25">
      <c r="G147" s="30"/>
      <c r="AA147" s="2"/>
    </row>
    <row r="148" spans="7:27" x14ac:dyDescent="0.25">
      <c r="G148" s="30"/>
      <c r="AA148" s="2"/>
    </row>
    <row r="149" spans="7:27" x14ac:dyDescent="0.25">
      <c r="G149" s="30"/>
      <c r="AA149" s="2"/>
    </row>
    <row r="150" spans="7:27" x14ac:dyDescent="0.25">
      <c r="G150" s="30"/>
      <c r="AA150" s="2"/>
    </row>
    <row r="151" spans="7:27" x14ac:dyDescent="0.25">
      <c r="G151" s="30"/>
      <c r="AA151" s="2"/>
    </row>
    <row r="152" spans="7:27" x14ac:dyDescent="0.25">
      <c r="G152" s="30"/>
      <c r="AA152" s="2"/>
    </row>
    <row r="153" spans="7:27" x14ac:dyDescent="0.25">
      <c r="G153" s="30"/>
      <c r="AA153" s="2"/>
    </row>
    <row r="154" spans="7:27" x14ac:dyDescent="0.25">
      <c r="G154" s="30"/>
      <c r="AA154" s="2"/>
    </row>
    <row r="155" spans="7:27" x14ac:dyDescent="0.25">
      <c r="G155" s="30"/>
      <c r="AA155" s="2"/>
    </row>
    <row r="156" spans="7:27" x14ac:dyDescent="0.25">
      <c r="G156" s="30"/>
      <c r="AA156" s="2"/>
    </row>
    <row r="157" spans="7:27" x14ac:dyDescent="0.25">
      <c r="G157" s="30"/>
      <c r="AA157" s="2"/>
    </row>
    <row r="158" spans="7:27" x14ac:dyDescent="0.25">
      <c r="G158" s="30"/>
      <c r="AA158" s="2"/>
    </row>
    <row r="159" spans="7:27" x14ac:dyDescent="0.25">
      <c r="G159" s="30"/>
      <c r="AA159" s="2"/>
    </row>
    <row r="160" spans="7:27" x14ac:dyDescent="0.25">
      <c r="G160" s="30"/>
      <c r="AA160" s="2"/>
    </row>
    <row r="161" spans="7:27" x14ac:dyDescent="0.25">
      <c r="G161" s="30"/>
      <c r="AA161" s="2"/>
    </row>
    <row r="162" spans="7:27" x14ac:dyDescent="0.25">
      <c r="G162" s="30"/>
      <c r="AA162" s="2"/>
    </row>
    <row r="163" spans="7:27" x14ac:dyDescent="0.25">
      <c r="G163" s="30"/>
      <c r="AA163" s="2"/>
    </row>
    <row r="164" spans="7:27" x14ac:dyDescent="0.25">
      <c r="G164" s="30"/>
      <c r="AA164" s="2"/>
    </row>
    <row r="165" spans="7:27" x14ac:dyDescent="0.25">
      <c r="G165" s="30"/>
      <c r="AA165" s="2"/>
    </row>
    <row r="166" spans="7:27" x14ac:dyDescent="0.25">
      <c r="G166" s="30"/>
      <c r="AA166" s="2"/>
    </row>
    <row r="167" spans="7:27" x14ac:dyDescent="0.25">
      <c r="G167" s="30"/>
      <c r="AA167" s="2"/>
    </row>
    <row r="168" spans="7:27" x14ac:dyDescent="0.25">
      <c r="G168" s="30"/>
      <c r="AA168" s="2"/>
    </row>
    <row r="169" spans="7:27" x14ac:dyDescent="0.25">
      <c r="G169" s="30"/>
      <c r="AA169" s="2"/>
    </row>
    <row r="170" spans="7:27" x14ac:dyDescent="0.25">
      <c r="G170" s="30"/>
      <c r="AA170" s="2"/>
    </row>
    <row r="171" spans="7:27" x14ac:dyDescent="0.25">
      <c r="G171" s="30"/>
      <c r="AA171" s="2"/>
    </row>
    <row r="172" spans="7:27" x14ac:dyDescent="0.25">
      <c r="G172" s="30"/>
      <c r="AA172" s="2"/>
    </row>
    <row r="173" spans="7:27" x14ac:dyDescent="0.25">
      <c r="G173" s="30"/>
      <c r="AA173" s="2"/>
    </row>
    <row r="174" spans="7:27" x14ac:dyDescent="0.25">
      <c r="G174" s="30"/>
      <c r="AA174" s="2"/>
    </row>
    <row r="175" spans="7:27" x14ac:dyDescent="0.25">
      <c r="G175" s="30"/>
      <c r="AA175" s="2"/>
    </row>
    <row r="176" spans="7:27" x14ac:dyDescent="0.25">
      <c r="G176" s="30"/>
      <c r="AA176" s="2"/>
    </row>
    <row r="177" spans="7:27" x14ac:dyDescent="0.25">
      <c r="G177" s="30"/>
      <c r="AA177" s="2"/>
    </row>
    <row r="178" spans="7:27" x14ac:dyDescent="0.25">
      <c r="G178" s="30"/>
      <c r="AA178" s="2"/>
    </row>
    <row r="179" spans="7:27" x14ac:dyDescent="0.25">
      <c r="G179" s="30"/>
      <c r="AA179" s="2"/>
    </row>
    <row r="180" spans="7:27" x14ac:dyDescent="0.25">
      <c r="G180" s="30"/>
      <c r="AA180" s="2"/>
    </row>
    <row r="181" spans="7:27" x14ac:dyDescent="0.25">
      <c r="G181" s="30"/>
      <c r="AA181" s="2"/>
    </row>
    <row r="182" spans="7:27" ht="15" customHeight="1" x14ac:dyDescent="0.25">
      <c r="G182" s="30"/>
      <c r="AA182" s="2"/>
    </row>
    <row r="183" spans="7:27" ht="15" customHeight="1" x14ac:dyDescent="0.25">
      <c r="G183" s="30"/>
      <c r="AA183" s="2"/>
    </row>
    <row r="184" spans="7:27" ht="15" customHeight="1" x14ac:dyDescent="0.25">
      <c r="G184" s="30"/>
      <c r="AA184" s="2"/>
    </row>
    <row r="185" spans="7:27" ht="15" customHeight="1" x14ac:dyDescent="0.25">
      <c r="G185" s="30"/>
      <c r="AA185" s="2"/>
    </row>
    <row r="186" spans="7:27" ht="15" customHeight="1" x14ac:dyDescent="0.25">
      <c r="G186" s="30"/>
      <c r="AA186" s="2"/>
    </row>
    <row r="187" spans="7:27" ht="15" customHeight="1" x14ac:dyDescent="0.25">
      <c r="G187" s="30"/>
      <c r="AA187" s="2"/>
    </row>
    <row r="188" spans="7:27" x14ac:dyDescent="0.25">
      <c r="G188" s="30"/>
      <c r="AA188" s="2"/>
    </row>
    <row r="189" spans="7:27" ht="15" customHeight="1" x14ac:dyDescent="0.25">
      <c r="G189" s="30"/>
      <c r="AA189" s="2"/>
    </row>
    <row r="190" spans="7:27" x14ac:dyDescent="0.25">
      <c r="G190" s="30"/>
      <c r="AA190" s="2"/>
    </row>
    <row r="191" spans="7:27" x14ac:dyDescent="0.25">
      <c r="G191" s="30"/>
      <c r="AA191" s="2"/>
    </row>
    <row r="192" spans="7:27" x14ac:dyDescent="0.25">
      <c r="G192" s="30"/>
      <c r="AA192" s="2"/>
    </row>
    <row r="193" spans="7:27" x14ac:dyDescent="0.25">
      <c r="G193" s="30"/>
      <c r="AA193" s="2"/>
    </row>
    <row r="194" spans="7:27" x14ac:dyDescent="0.25">
      <c r="G194" s="30"/>
      <c r="AA194" s="2"/>
    </row>
    <row r="195" spans="7:27" x14ac:dyDescent="0.25">
      <c r="G195" s="30"/>
      <c r="AA195" s="2"/>
    </row>
    <row r="196" spans="7:27" x14ac:dyDescent="0.25">
      <c r="G196" s="30"/>
      <c r="AA196" s="2"/>
    </row>
    <row r="197" spans="7:27" x14ac:dyDescent="0.25">
      <c r="G197" s="30"/>
      <c r="AA197" s="2"/>
    </row>
    <row r="198" spans="7:27" x14ac:dyDescent="0.25">
      <c r="G198" s="30"/>
      <c r="AA198" s="2"/>
    </row>
    <row r="199" spans="7:27" x14ac:dyDescent="0.25">
      <c r="G199" s="30"/>
      <c r="AA199" s="2"/>
    </row>
    <row r="200" spans="7:27" x14ac:dyDescent="0.25">
      <c r="G200" s="30"/>
      <c r="AA200" s="2"/>
    </row>
    <row r="201" spans="7:27" x14ac:dyDescent="0.25">
      <c r="G201" s="30"/>
      <c r="AA201" s="2"/>
    </row>
    <row r="202" spans="7:27" x14ac:dyDescent="0.25">
      <c r="G202" s="30"/>
      <c r="AA202" s="2"/>
    </row>
    <row r="203" spans="7:27" x14ac:dyDescent="0.25">
      <c r="G203" s="30"/>
      <c r="AA203" s="2"/>
    </row>
    <row r="204" spans="7:27" x14ac:dyDescent="0.25">
      <c r="G204" s="30"/>
      <c r="AA204" s="2"/>
    </row>
    <row r="205" spans="7:27" x14ac:dyDescent="0.25">
      <c r="G205" s="30"/>
      <c r="AA205" s="2"/>
    </row>
    <row r="206" spans="7:27" x14ac:dyDescent="0.25">
      <c r="G206" s="30"/>
      <c r="AA206" s="2"/>
    </row>
    <row r="207" spans="7:27" x14ac:dyDescent="0.25">
      <c r="G207" s="30"/>
      <c r="AA207" s="2"/>
    </row>
    <row r="208" spans="7:27" x14ac:dyDescent="0.25">
      <c r="G208" s="30"/>
      <c r="AA208" s="2"/>
    </row>
    <row r="209" spans="7:27" x14ac:dyDescent="0.25">
      <c r="G209" s="30"/>
      <c r="AA209" s="2"/>
    </row>
    <row r="210" spans="7:27" x14ac:dyDescent="0.25">
      <c r="G210" s="30"/>
      <c r="AA210" s="2"/>
    </row>
    <row r="211" spans="7:27" x14ac:dyDescent="0.25">
      <c r="G211" s="30"/>
      <c r="AA211" s="2"/>
    </row>
    <row r="212" spans="7:27" x14ac:dyDescent="0.25">
      <c r="G212" s="30"/>
      <c r="AA212" s="2"/>
    </row>
    <row r="213" spans="7:27" x14ac:dyDescent="0.25">
      <c r="G213" s="30"/>
      <c r="AA213" s="2"/>
    </row>
    <row r="214" spans="7:27" x14ac:dyDescent="0.25">
      <c r="G214" s="30"/>
      <c r="AA214" s="2"/>
    </row>
    <row r="215" spans="7:27" x14ac:dyDescent="0.25">
      <c r="G215" s="30"/>
      <c r="AA215" s="2"/>
    </row>
    <row r="216" spans="7:27" x14ac:dyDescent="0.25">
      <c r="G216" s="30"/>
      <c r="AA216" s="2"/>
    </row>
    <row r="217" spans="7:27" x14ac:dyDescent="0.25">
      <c r="G217" s="30"/>
      <c r="AA217" s="2"/>
    </row>
    <row r="218" spans="7:27" x14ac:dyDescent="0.25">
      <c r="G218" s="30"/>
      <c r="AA218" s="2"/>
    </row>
    <row r="219" spans="7:27" x14ac:dyDescent="0.25">
      <c r="G219" s="30"/>
      <c r="AA219" s="2"/>
    </row>
    <row r="220" spans="7:27" x14ac:dyDescent="0.25">
      <c r="G220" s="30"/>
      <c r="AA220" s="2"/>
    </row>
    <row r="221" spans="7:27" x14ac:dyDescent="0.25">
      <c r="G221" s="30"/>
      <c r="AA221" s="2"/>
    </row>
    <row r="222" spans="7:27" x14ac:dyDescent="0.25">
      <c r="G222" s="30"/>
      <c r="AA222" s="2"/>
    </row>
    <row r="223" spans="7:27" x14ac:dyDescent="0.25">
      <c r="G223" s="30"/>
      <c r="AA223" s="2"/>
    </row>
    <row r="224" spans="7:27" x14ac:dyDescent="0.25">
      <c r="G224" s="30"/>
      <c r="AA224" s="2"/>
    </row>
    <row r="225" spans="7:27" x14ac:dyDescent="0.25">
      <c r="G225" s="30"/>
      <c r="AA225" s="2"/>
    </row>
    <row r="226" spans="7:27" x14ac:dyDescent="0.25">
      <c r="G226" s="30"/>
      <c r="AA226" s="2"/>
    </row>
    <row r="227" spans="7:27" ht="15" customHeight="1" x14ac:dyDescent="0.25">
      <c r="G227" s="30"/>
      <c r="AA227" s="2"/>
    </row>
    <row r="228" spans="7:27" ht="15" customHeight="1" x14ac:dyDescent="0.25">
      <c r="G228" s="30"/>
      <c r="AA228" s="2"/>
    </row>
    <row r="229" spans="7:27" ht="15" customHeight="1" x14ac:dyDescent="0.25">
      <c r="G229" s="30"/>
      <c r="AA229" s="2"/>
    </row>
    <row r="230" spans="7:27" ht="15" customHeight="1" x14ac:dyDescent="0.25">
      <c r="G230" s="30"/>
      <c r="AA230" s="2"/>
    </row>
    <row r="231" spans="7:27" ht="15" customHeight="1" x14ac:dyDescent="0.25">
      <c r="G231" s="30"/>
      <c r="AA231" s="2"/>
    </row>
    <row r="232" spans="7:27" ht="15" customHeight="1" x14ac:dyDescent="0.25">
      <c r="G232" s="30"/>
      <c r="AA232" s="2"/>
    </row>
    <row r="233" spans="7:27" x14ac:dyDescent="0.25">
      <c r="G233" s="30"/>
      <c r="AA233" s="2"/>
    </row>
    <row r="234" spans="7:27" ht="15" customHeight="1" x14ac:dyDescent="0.25">
      <c r="G234" s="30"/>
      <c r="AA234" s="2"/>
    </row>
    <row r="235" spans="7:27" x14ac:dyDescent="0.25">
      <c r="G235" s="30"/>
      <c r="AA235" s="2"/>
    </row>
    <row r="236" spans="7:27" x14ac:dyDescent="0.25">
      <c r="G236" s="30"/>
      <c r="AA236" s="2"/>
    </row>
    <row r="237" spans="7:27" x14ac:dyDescent="0.25">
      <c r="G237" s="30"/>
      <c r="AA237" s="2"/>
    </row>
    <row r="238" spans="7:27" x14ac:dyDescent="0.25">
      <c r="G238" s="30"/>
      <c r="AA238" s="2"/>
    </row>
    <row r="239" spans="7:27" x14ac:dyDescent="0.25">
      <c r="G239" s="30"/>
      <c r="AA239" s="2"/>
    </row>
    <row r="240" spans="7:27" x14ac:dyDescent="0.25">
      <c r="G240" s="30"/>
      <c r="AA240" s="2"/>
    </row>
    <row r="241" spans="7:27" x14ac:dyDescent="0.25">
      <c r="G241" s="30"/>
      <c r="AA241" s="2"/>
    </row>
    <row r="242" spans="7:27" x14ac:dyDescent="0.25">
      <c r="G242" s="30"/>
      <c r="AA242" s="2"/>
    </row>
    <row r="243" spans="7:27" x14ac:dyDescent="0.25">
      <c r="G243" s="30"/>
      <c r="AA243" s="2"/>
    </row>
    <row r="244" spans="7:27" x14ac:dyDescent="0.25">
      <c r="G244" s="30"/>
      <c r="AA244" s="2"/>
    </row>
    <row r="245" spans="7:27" x14ac:dyDescent="0.25">
      <c r="G245" s="30"/>
      <c r="AA245" s="2"/>
    </row>
    <row r="246" spans="7:27" x14ac:dyDescent="0.25">
      <c r="G246" s="30"/>
      <c r="AA246" s="2"/>
    </row>
    <row r="247" spans="7:27" x14ac:dyDescent="0.25">
      <c r="G247" s="30"/>
      <c r="AA247" s="2"/>
    </row>
    <row r="248" spans="7:27" x14ac:dyDescent="0.25">
      <c r="G248" s="30"/>
      <c r="AA248" s="2"/>
    </row>
    <row r="249" spans="7:27" x14ac:dyDescent="0.25">
      <c r="G249" s="30"/>
      <c r="AA249" s="2"/>
    </row>
    <row r="250" spans="7:27" x14ac:dyDescent="0.25">
      <c r="G250" s="30"/>
      <c r="AA250" s="2"/>
    </row>
    <row r="251" spans="7:27" x14ac:dyDescent="0.25">
      <c r="G251" s="30"/>
      <c r="AA251" s="2"/>
    </row>
    <row r="252" spans="7:27" x14ac:dyDescent="0.25">
      <c r="G252" s="30"/>
      <c r="AA252" s="2"/>
    </row>
    <row r="253" spans="7:27" x14ac:dyDescent="0.25">
      <c r="G253" s="30"/>
      <c r="AA253" s="2"/>
    </row>
    <row r="254" spans="7:27" x14ac:dyDescent="0.25">
      <c r="G254" s="30"/>
      <c r="AA254" s="2"/>
    </row>
    <row r="255" spans="7:27" x14ac:dyDescent="0.25">
      <c r="G255" s="30"/>
      <c r="AA255" s="2"/>
    </row>
    <row r="256" spans="7:27" x14ac:dyDescent="0.25">
      <c r="G256" s="30"/>
      <c r="AA256" s="2"/>
    </row>
    <row r="257" spans="7:27" x14ac:dyDescent="0.25">
      <c r="G257" s="30"/>
      <c r="AA257" s="2"/>
    </row>
    <row r="258" spans="7:27" x14ac:dyDescent="0.25">
      <c r="G258" s="30"/>
      <c r="AA258" s="2"/>
    </row>
    <row r="259" spans="7:27" x14ac:dyDescent="0.25">
      <c r="G259" s="30"/>
      <c r="AA259" s="2"/>
    </row>
    <row r="260" spans="7:27" x14ac:dyDescent="0.25">
      <c r="G260" s="30"/>
      <c r="AA260" s="2"/>
    </row>
    <row r="261" spans="7:27" x14ac:dyDescent="0.25">
      <c r="G261" s="30"/>
      <c r="AA261" s="2"/>
    </row>
    <row r="262" spans="7:27" x14ac:dyDescent="0.25">
      <c r="G262" s="30"/>
      <c r="AA262" s="2"/>
    </row>
    <row r="263" spans="7:27" x14ac:dyDescent="0.25">
      <c r="G263" s="30"/>
      <c r="AA263" s="2"/>
    </row>
    <row r="264" spans="7:27" x14ac:dyDescent="0.25">
      <c r="G264" s="30"/>
      <c r="AA264" s="2"/>
    </row>
    <row r="265" spans="7:27" x14ac:dyDescent="0.25">
      <c r="G265" s="30"/>
      <c r="AA265" s="2"/>
    </row>
    <row r="266" spans="7:27" x14ac:dyDescent="0.25">
      <c r="G266" s="30"/>
      <c r="AA266" s="2"/>
    </row>
    <row r="267" spans="7:27" x14ac:dyDescent="0.25">
      <c r="G267" s="30"/>
      <c r="AA267" s="2"/>
    </row>
    <row r="268" spans="7:27" x14ac:dyDescent="0.25">
      <c r="G268" s="30"/>
      <c r="AA268" s="2"/>
    </row>
    <row r="269" spans="7:27" x14ac:dyDescent="0.25">
      <c r="G269" s="30"/>
      <c r="AA269" s="2"/>
    </row>
    <row r="270" spans="7:27" x14ac:dyDescent="0.25">
      <c r="G270" s="30"/>
      <c r="AA270" s="2"/>
    </row>
    <row r="271" spans="7:27" x14ac:dyDescent="0.25">
      <c r="G271" s="30"/>
      <c r="AA271" s="2"/>
    </row>
    <row r="272" spans="7:27" x14ac:dyDescent="0.25">
      <c r="G272" s="30"/>
      <c r="AA272" s="2"/>
    </row>
    <row r="273" spans="7:27" x14ac:dyDescent="0.25">
      <c r="G273" s="30"/>
      <c r="AA273" s="2"/>
    </row>
  </sheetData>
  <mergeCells count="12">
    <mergeCell ref="B11:R49"/>
    <mergeCell ref="A54:A92"/>
    <mergeCell ref="B54:R92"/>
    <mergeCell ref="B97:R135"/>
    <mergeCell ref="A99:A131"/>
    <mergeCell ref="E1:O3"/>
    <mergeCell ref="E4:E5"/>
    <mergeCell ref="F4:O5"/>
    <mergeCell ref="E6:E7"/>
    <mergeCell ref="F6:O7"/>
    <mergeCell ref="E8:E9"/>
    <mergeCell ref="F8:O9"/>
  </mergeCells>
  <pageMargins left="0.19685039370078741" right="0.19685039370078741" top="0.19685039370078741" bottom="0.19685039370078741" header="0" footer="0.35433070866141736"/>
  <pageSetup paperSize="9" scale="39" fitToHeight="3" orientation="portrait" horizontalDpi="1200" verticalDpi="1200" r:id="rId1"/>
  <headerFooter alignWithMargins="0">
    <oddFooter xml:space="preserve">&amp;C&amp;18Tooshop | M. Santos | &amp;D&amp;R&amp;18Página &amp;P de &amp;N         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273"/>
  <sheetViews>
    <sheetView view="pageBreakPreview" zoomScale="37" zoomScaleNormal="70" zoomScaleSheetLayoutView="37" workbookViewId="0">
      <selection activeCell="T57" sqref="T57"/>
    </sheetView>
  </sheetViews>
  <sheetFormatPr defaultRowHeight="15" x14ac:dyDescent="0.25"/>
  <cols>
    <col min="1" max="1" width="4.7109375" style="2" customWidth="1"/>
    <col min="2" max="2" width="9.140625" style="2"/>
    <col min="3" max="4" width="15.7109375" style="2" customWidth="1"/>
    <col min="5" max="5" width="30.7109375" style="2" customWidth="1"/>
    <col min="6" max="6" width="18.7109375" style="2" customWidth="1"/>
    <col min="7" max="13" width="9.140625" style="2"/>
    <col min="14" max="14" width="25.7109375" style="2" customWidth="1"/>
    <col min="15" max="15" width="30.7109375" style="2" customWidth="1"/>
    <col min="16" max="17" width="15.7109375" style="2" customWidth="1"/>
    <col min="18" max="18" width="9.140625" style="2" customWidth="1"/>
    <col min="19" max="19" width="4.5703125" style="2" customWidth="1"/>
    <col min="20" max="20" width="50.140625" style="2" customWidth="1"/>
    <col min="21" max="21" width="6.85546875" style="2" customWidth="1"/>
    <col min="22" max="22" width="6.5703125" style="2" customWidth="1"/>
    <col min="23" max="23" width="6.7109375" style="2" customWidth="1"/>
    <col min="24" max="24" width="7.28515625" style="2" customWidth="1"/>
    <col min="25" max="25" width="9.140625" style="2"/>
    <col min="26" max="26" width="39" style="2" bestFit="1" customWidth="1"/>
    <col min="27" max="27" width="13.5703125" style="30" bestFit="1" customWidth="1"/>
    <col min="28" max="28" width="10.42578125" style="2" bestFit="1" customWidth="1"/>
    <col min="29" max="29" width="19.42578125" style="2" bestFit="1" customWidth="1"/>
    <col min="30" max="30" width="5.42578125" style="2" bestFit="1" customWidth="1"/>
    <col min="31" max="16384" width="9.140625" style="2"/>
  </cols>
  <sheetData>
    <row r="1" spans="1:30" ht="15" customHeight="1" x14ac:dyDescent="0.25">
      <c r="A1" s="13"/>
      <c r="B1" s="3"/>
      <c r="C1" s="3"/>
      <c r="D1" s="3"/>
      <c r="E1" s="116" t="s">
        <v>3</v>
      </c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3"/>
      <c r="Q1" s="3"/>
      <c r="R1" s="3"/>
      <c r="S1" s="4"/>
      <c r="T1" s="10"/>
      <c r="Z1" s="49" t="s">
        <v>4</v>
      </c>
      <c r="AA1" s="88"/>
      <c r="AB1" s="102"/>
      <c r="AC1" s="103"/>
      <c r="AD1" s="104"/>
    </row>
    <row r="2" spans="1:30" ht="15" customHeight="1" x14ac:dyDescent="0.25">
      <c r="A2" s="14"/>
      <c r="B2" s="56"/>
      <c r="C2" s="56"/>
      <c r="D2" s="56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58"/>
      <c r="Q2" s="56"/>
      <c r="R2" s="56"/>
      <c r="S2" s="6"/>
      <c r="Z2" s="50" t="s">
        <v>477</v>
      </c>
      <c r="AA2" s="89">
        <v>2</v>
      </c>
      <c r="AB2" s="95"/>
      <c r="AC2" s="95"/>
      <c r="AD2" s="105"/>
    </row>
    <row r="3" spans="1:30" ht="15" customHeight="1" x14ac:dyDescent="0.25">
      <c r="A3" s="14"/>
      <c r="B3" s="56"/>
      <c r="C3" s="56"/>
      <c r="D3" s="56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58"/>
      <c r="Q3" s="56"/>
      <c r="R3" s="56"/>
      <c r="S3" s="6"/>
      <c r="Z3" s="50" t="s">
        <v>476</v>
      </c>
      <c r="AA3" s="89">
        <v>1</v>
      </c>
      <c r="AB3" s="95"/>
      <c r="AC3" s="95"/>
      <c r="AD3" s="105"/>
    </row>
    <row r="4" spans="1:30" ht="15" customHeight="1" x14ac:dyDescent="0.25">
      <c r="A4" s="14"/>
      <c r="B4" s="56"/>
      <c r="C4" s="56"/>
      <c r="D4" s="56"/>
      <c r="E4" s="129" t="str">
        <f>"Projeto: "</f>
        <v xml:space="preserve">Projeto: </v>
      </c>
      <c r="F4" s="131" t="str">
        <f>T7</f>
        <v>VW483_EU - Passat CC</v>
      </c>
      <c r="G4" s="131"/>
      <c r="H4" s="131"/>
      <c r="I4" s="131"/>
      <c r="J4" s="131"/>
      <c r="K4" s="131"/>
      <c r="L4" s="131"/>
      <c r="M4" s="131"/>
      <c r="N4" s="131"/>
      <c r="O4" s="132"/>
      <c r="P4" s="58"/>
      <c r="Q4" s="56"/>
      <c r="R4" s="56"/>
      <c r="S4" s="6"/>
      <c r="Z4" s="50" t="s">
        <v>218</v>
      </c>
      <c r="AA4" s="89">
        <v>2</v>
      </c>
      <c r="AB4" s="95"/>
      <c r="AC4" s="95"/>
      <c r="AD4" s="105"/>
    </row>
    <row r="5" spans="1:30" ht="15" customHeight="1" x14ac:dyDescent="0.25">
      <c r="A5" s="80"/>
      <c r="B5" s="54"/>
      <c r="C5" s="55"/>
      <c r="D5" s="55"/>
      <c r="E5" s="130"/>
      <c r="F5" s="133"/>
      <c r="G5" s="133"/>
      <c r="H5" s="133"/>
      <c r="I5" s="133"/>
      <c r="J5" s="133"/>
      <c r="K5" s="133"/>
      <c r="L5" s="133"/>
      <c r="M5" s="133"/>
      <c r="N5" s="133"/>
      <c r="O5" s="134"/>
      <c r="P5" s="58"/>
      <c r="Q5" s="55"/>
      <c r="R5" s="55"/>
      <c r="S5" s="6"/>
      <c r="Z5" s="50" t="s">
        <v>475</v>
      </c>
      <c r="AA5" s="89">
        <v>1</v>
      </c>
      <c r="AB5" s="95"/>
      <c r="AC5" s="95"/>
      <c r="AD5" s="105"/>
    </row>
    <row r="6" spans="1:30" ht="15" customHeight="1" x14ac:dyDescent="0.25">
      <c r="A6" s="80"/>
      <c r="B6" s="54"/>
      <c r="C6" s="55"/>
      <c r="D6" s="55"/>
      <c r="E6" s="135" t="str">
        <f>"Peça: "</f>
        <v xml:space="preserve">Peça: </v>
      </c>
      <c r="F6" s="136" t="str">
        <f>T8</f>
        <v>3G8.823.105</v>
      </c>
      <c r="G6" s="136"/>
      <c r="H6" s="136"/>
      <c r="I6" s="136"/>
      <c r="J6" s="136"/>
      <c r="K6" s="136"/>
      <c r="L6" s="136"/>
      <c r="M6" s="136"/>
      <c r="N6" s="136"/>
      <c r="O6" s="137"/>
      <c r="P6" s="58"/>
      <c r="Q6" s="55"/>
      <c r="R6" s="55"/>
      <c r="S6" s="6"/>
      <c r="T6" s="17" t="s">
        <v>364</v>
      </c>
      <c r="Z6" s="50" t="s">
        <v>249</v>
      </c>
      <c r="AA6" s="89"/>
      <c r="AB6" s="95"/>
      <c r="AC6" s="95"/>
      <c r="AD6" s="105"/>
    </row>
    <row r="7" spans="1:30" ht="15" customHeight="1" x14ac:dyDescent="0.25">
      <c r="A7" s="80"/>
      <c r="B7" s="54"/>
      <c r="C7" s="55"/>
      <c r="D7" s="55"/>
      <c r="E7" s="130"/>
      <c r="F7" s="133"/>
      <c r="G7" s="133"/>
      <c r="H7" s="133"/>
      <c r="I7" s="133"/>
      <c r="J7" s="133"/>
      <c r="K7" s="133"/>
      <c r="L7" s="133"/>
      <c r="M7" s="133"/>
      <c r="N7" s="133"/>
      <c r="O7" s="134"/>
      <c r="P7" s="55"/>
      <c r="Q7" s="55"/>
      <c r="R7" s="55"/>
      <c r="S7" s="6"/>
      <c r="T7" s="53" t="s">
        <v>84</v>
      </c>
      <c r="Z7" s="50" t="s">
        <v>2</v>
      </c>
      <c r="AA7" s="89">
        <f>SUM(AA2:AA6)</f>
        <v>6</v>
      </c>
      <c r="AB7" s="95">
        <f>SUM(AB2:AB6)</f>
        <v>0</v>
      </c>
      <c r="AC7" s="95"/>
      <c r="AD7" s="105"/>
    </row>
    <row r="8" spans="1:30" ht="15" customHeight="1" x14ac:dyDescent="0.25">
      <c r="A8" s="15"/>
      <c r="E8" s="135" t="str">
        <f>"Ano: "</f>
        <v xml:space="preserve">Ano: </v>
      </c>
      <c r="F8" s="136">
        <f>T9</f>
        <v>2017</v>
      </c>
      <c r="G8" s="136"/>
      <c r="H8" s="136"/>
      <c r="I8" s="136"/>
      <c r="J8" s="136"/>
      <c r="K8" s="136"/>
      <c r="L8" s="136"/>
      <c r="M8" s="136"/>
      <c r="N8" s="136"/>
      <c r="O8" s="137"/>
      <c r="S8" s="6"/>
      <c r="T8" s="2" t="s">
        <v>99</v>
      </c>
      <c r="Z8" s="48" t="s">
        <v>5</v>
      </c>
      <c r="AA8" s="90"/>
      <c r="AB8" s="106"/>
      <c r="AC8" s="106"/>
      <c r="AD8" s="107"/>
    </row>
    <row r="9" spans="1:30" ht="15" customHeight="1" x14ac:dyDescent="0.25">
      <c r="A9" s="81"/>
      <c r="B9" s="57"/>
      <c r="C9" s="57"/>
      <c r="D9" s="57"/>
      <c r="E9" s="130"/>
      <c r="F9" s="133"/>
      <c r="G9" s="133"/>
      <c r="H9" s="133"/>
      <c r="I9" s="133"/>
      <c r="J9" s="133"/>
      <c r="K9" s="133"/>
      <c r="L9" s="133"/>
      <c r="M9" s="133"/>
      <c r="N9" s="133"/>
      <c r="O9" s="134"/>
      <c r="P9" s="57"/>
      <c r="Q9" s="57"/>
      <c r="R9" s="57"/>
      <c r="S9" s="6"/>
      <c r="T9" s="2">
        <v>2017</v>
      </c>
      <c r="Z9" s="44" t="s">
        <v>8</v>
      </c>
      <c r="AA9" s="91">
        <v>2</v>
      </c>
      <c r="AB9" s="108"/>
      <c r="AC9" s="108"/>
      <c r="AD9" s="109"/>
    </row>
    <row r="10" spans="1:30" x14ac:dyDescent="0.25">
      <c r="A10" s="81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6"/>
      <c r="Z10" s="44" t="s">
        <v>7</v>
      </c>
      <c r="AA10" s="91"/>
      <c r="AB10" s="108"/>
      <c r="AC10" s="108"/>
      <c r="AD10" s="109"/>
    </row>
    <row r="11" spans="1:30" ht="15" customHeight="1" x14ac:dyDescent="0.25">
      <c r="A11" s="81"/>
      <c r="B11" s="118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6"/>
      <c r="Z11" s="44" t="s">
        <v>41</v>
      </c>
      <c r="AA11" s="91"/>
      <c r="AB11" s="108"/>
      <c r="AC11" s="108"/>
      <c r="AD11" s="109"/>
    </row>
    <row r="12" spans="1:30" ht="15" customHeight="1" x14ac:dyDescent="0.25">
      <c r="A12" s="81"/>
      <c r="B12" s="118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6"/>
      <c r="Z12" s="44" t="s">
        <v>40</v>
      </c>
      <c r="AA12" s="91"/>
      <c r="AB12" s="108"/>
      <c r="AC12" s="108"/>
      <c r="AD12" s="109"/>
    </row>
    <row r="13" spans="1:30" ht="15" customHeight="1" x14ac:dyDescent="0.25">
      <c r="A13" s="81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6"/>
      <c r="T13" s="12"/>
      <c r="Z13" s="44" t="s">
        <v>1</v>
      </c>
      <c r="AA13" s="91"/>
      <c r="AB13" s="108"/>
      <c r="AC13" s="108"/>
      <c r="AD13" s="109"/>
    </row>
    <row r="14" spans="1:30" ht="15" customHeight="1" x14ac:dyDescent="0.25">
      <c r="A14" s="81"/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6"/>
      <c r="T14" s="11"/>
      <c r="Z14" s="96" t="s">
        <v>356</v>
      </c>
      <c r="AA14" s="94"/>
      <c r="AB14" s="110"/>
      <c r="AC14" s="110"/>
      <c r="AD14" s="111"/>
    </row>
    <row r="15" spans="1:30" ht="15" customHeight="1" x14ac:dyDescent="0.25">
      <c r="A15" s="81"/>
      <c r="B15" s="118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6"/>
      <c r="Z15" s="45" t="s">
        <v>353</v>
      </c>
      <c r="AA15" s="98"/>
      <c r="AB15" s="99"/>
      <c r="AC15" s="100"/>
      <c r="AD15" s="101"/>
    </row>
    <row r="16" spans="1:30" ht="15" customHeight="1" x14ac:dyDescent="0.25">
      <c r="A16" s="81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6"/>
      <c r="Z16" s="45" t="s">
        <v>185</v>
      </c>
      <c r="AA16" s="98"/>
      <c r="AB16" s="99"/>
      <c r="AC16" s="100"/>
      <c r="AD16" s="101"/>
    </row>
    <row r="17" spans="1:30" x14ac:dyDescent="0.25">
      <c r="A17" s="81"/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6"/>
      <c r="Z17" s="45" t="s">
        <v>210</v>
      </c>
      <c r="AA17" s="98"/>
      <c r="AB17" s="99"/>
      <c r="AC17" s="100"/>
      <c r="AD17" s="101"/>
    </row>
    <row r="18" spans="1:30" x14ac:dyDescent="0.25">
      <c r="A18" s="81"/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6"/>
      <c r="Z18" s="45" t="s">
        <v>354</v>
      </c>
      <c r="AA18" s="98"/>
      <c r="AB18" s="99"/>
      <c r="AC18" s="100"/>
      <c r="AD18" s="101"/>
    </row>
    <row r="19" spans="1:30" x14ac:dyDescent="0.25">
      <c r="A19" s="81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6"/>
      <c r="Z19" s="45" t="s">
        <v>46</v>
      </c>
      <c r="AA19" s="98"/>
      <c r="AB19" s="99"/>
      <c r="AC19" s="100"/>
      <c r="AD19" s="101">
        <v>5</v>
      </c>
    </row>
    <row r="20" spans="1:30" x14ac:dyDescent="0.25">
      <c r="A20" s="81"/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6"/>
      <c r="Z20" s="45" t="s">
        <v>204</v>
      </c>
      <c r="AA20" s="98"/>
      <c r="AB20" s="99"/>
      <c r="AC20" s="100"/>
      <c r="AD20" s="101"/>
    </row>
    <row r="21" spans="1:30" x14ac:dyDescent="0.25">
      <c r="A21" s="81"/>
      <c r="B21" s="118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6"/>
      <c r="Z21" s="45" t="s">
        <v>143</v>
      </c>
      <c r="AA21" s="98"/>
      <c r="AB21" s="99"/>
      <c r="AC21" s="100"/>
      <c r="AD21" s="101">
        <v>1</v>
      </c>
    </row>
    <row r="22" spans="1:30" x14ac:dyDescent="0.25">
      <c r="A22" s="81"/>
      <c r="B22" s="118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6"/>
      <c r="Z22" s="45" t="s">
        <v>147</v>
      </c>
      <c r="AA22" s="98"/>
      <c r="AB22" s="99"/>
      <c r="AC22" s="100"/>
      <c r="AD22" s="101"/>
    </row>
    <row r="23" spans="1:30" x14ac:dyDescent="0.25">
      <c r="A23" s="81"/>
      <c r="B23" s="118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6"/>
      <c r="Z23" s="45" t="s">
        <v>57</v>
      </c>
      <c r="AA23" s="98"/>
      <c r="AB23" s="99"/>
      <c r="AC23" s="100"/>
      <c r="AD23" s="101"/>
    </row>
    <row r="24" spans="1:30" x14ac:dyDescent="0.25">
      <c r="A24" s="81"/>
      <c r="B24" s="11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6"/>
      <c r="Z24" s="46" t="s">
        <v>52</v>
      </c>
      <c r="AA24" s="98"/>
      <c r="AB24" s="99"/>
      <c r="AC24" s="100"/>
      <c r="AD24" s="101"/>
    </row>
    <row r="25" spans="1:30" x14ac:dyDescent="0.25">
      <c r="A25" s="81"/>
      <c r="B25" s="118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6"/>
      <c r="Z25" s="46"/>
      <c r="AA25" s="98"/>
      <c r="AB25" s="99"/>
      <c r="AC25" s="100"/>
      <c r="AD25" s="101"/>
    </row>
    <row r="26" spans="1:30" x14ac:dyDescent="0.25">
      <c r="A26" s="81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6"/>
      <c r="Z26" s="46"/>
      <c r="AA26" s="92"/>
      <c r="AB26" s="100"/>
      <c r="AC26" s="100"/>
      <c r="AD26" s="101"/>
    </row>
    <row r="27" spans="1:30" x14ac:dyDescent="0.25">
      <c r="A27" s="81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6"/>
      <c r="Z27" s="46"/>
      <c r="AA27" s="92"/>
      <c r="AB27" s="100"/>
      <c r="AC27" s="100"/>
      <c r="AD27" s="101"/>
    </row>
    <row r="28" spans="1:30" x14ac:dyDescent="0.25">
      <c r="A28" s="81"/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6"/>
      <c r="Z28" s="97"/>
      <c r="AA28" s="92" t="s">
        <v>8</v>
      </c>
      <c r="AB28" s="100" t="s">
        <v>7</v>
      </c>
      <c r="AC28" s="100" t="s">
        <v>41</v>
      </c>
      <c r="AD28" s="101" t="s">
        <v>479</v>
      </c>
    </row>
    <row r="29" spans="1:30" x14ac:dyDescent="0.25">
      <c r="A29" s="81"/>
      <c r="B29" s="118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6"/>
      <c r="Z29" s="46"/>
      <c r="AA29" s="92"/>
      <c r="AB29" s="100"/>
      <c r="AC29" s="100"/>
      <c r="AD29" s="101"/>
    </row>
    <row r="30" spans="1:30" x14ac:dyDescent="0.25">
      <c r="A30" s="81"/>
      <c r="B30" s="118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6"/>
      <c r="Z30" s="46"/>
      <c r="AA30" s="92"/>
      <c r="AB30" s="100"/>
      <c r="AC30" s="100"/>
      <c r="AD30" s="101"/>
    </row>
    <row r="31" spans="1:30" x14ac:dyDescent="0.25">
      <c r="A31" s="81"/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6"/>
      <c r="Z31" s="46"/>
      <c r="AA31" s="92"/>
      <c r="AB31" s="100"/>
      <c r="AC31" s="100"/>
      <c r="AD31" s="101"/>
    </row>
    <row r="32" spans="1:30" x14ac:dyDescent="0.25">
      <c r="A32" s="81"/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6"/>
      <c r="Z32" s="46"/>
      <c r="AA32" s="92"/>
      <c r="AB32" s="100"/>
      <c r="AC32" s="100"/>
      <c r="AD32" s="101"/>
    </row>
    <row r="33" spans="1:30" x14ac:dyDescent="0.25">
      <c r="A33" s="81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6"/>
      <c r="Z33" s="46"/>
      <c r="AA33" s="92"/>
      <c r="AB33" s="100"/>
      <c r="AC33" s="100"/>
      <c r="AD33" s="101"/>
    </row>
    <row r="34" spans="1:30" x14ac:dyDescent="0.25">
      <c r="A34" s="81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6"/>
      <c r="Z34" s="97"/>
      <c r="AA34" s="92"/>
      <c r="AB34" s="100"/>
      <c r="AC34" s="100"/>
      <c r="AD34" s="101"/>
    </row>
    <row r="35" spans="1:30" x14ac:dyDescent="0.25">
      <c r="A35" s="81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6"/>
      <c r="Z35" s="46"/>
      <c r="AA35" s="92"/>
      <c r="AB35" s="100"/>
      <c r="AC35" s="100"/>
      <c r="AD35" s="101"/>
    </row>
    <row r="36" spans="1:30" x14ac:dyDescent="0.25">
      <c r="A36" s="81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6"/>
      <c r="Z36" s="46"/>
      <c r="AA36" s="92"/>
      <c r="AB36" s="100"/>
      <c r="AC36" s="100"/>
      <c r="AD36" s="101"/>
    </row>
    <row r="37" spans="1:30" x14ac:dyDescent="0.25">
      <c r="A37" s="81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6"/>
      <c r="Z37" s="46"/>
      <c r="AA37" s="92"/>
      <c r="AB37" s="100"/>
      <c r="AC37" s="100"/>
      <c r="AD37" s="101"/>
    </row>
    <row r="38" spans="1:30" x14ac:dyDescent="0.25">
      <c r="A38" s="81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6"/>
      <c r="Z38" s="46"/>
      <c r="AA38" s="92"/>
      <c r="AB38" s="100"/>
      <c r="AC38" s="100"/>
      <c r="AD38" s="101"/>
    </row>
    <row r="39" spans="1:30" ht="15.75" thickBot="1" x14ac:dyDescent="0.3">
      <c r="A39" s="81"/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6"/>
      <c r="Z39" s="47"/>
      <c r="AA39" s="93"/>
      <c r="AB39" s="112"/>
      <c r="AC39" s="112"/>
      <c r="AD39" s="113"/>
    </row>
    <row r="40" spans="1:30" x14ac:dyDescent="0.25">
      <c r="A40" s="81"/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6"/>
    </row>
    <row r="41" spans="1:30" x14ac:dyDescent="0.25">
      <c r="A41" s="81"/>
      <c r="B41" s="118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6"/>
    </row>
    <row r="42" spans="1:30" x14ac:dyDescent="0.25">
      <c r="A42" s="5"/>
      <c r="B42" s="118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6"/>
    </row>
    <row r="43" spans="1:30" x14ac:dyDescent="0.25">
      <c r="A43" s="5"/>
      <c r="B43" s="118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6"/>
    </row>
    <row r="44" spans="1:30" x14ac:dyDescent="0.25">
      <c r="A44" s="5"/>
      <c r="B44" s="118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6"/>
    </row>
    <row r="45" spans="1:30" x14ac:dyDescent="0.25">
      <c r="A45" s="5"/>
      <c r="B45" s="118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8"/>
      <c r="Q45" s="118"/>
      <c r="R45" s="118"/>
      <c r="S45" s="6"/>
    </row>
    <row r="46" spans="1:30" x14ac:dyDescent="0.25">
      <c r="A46" s="15"/>
      <c r="B46" s="118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6"/>
    </row>
    <row r="47" spans="1:30" ht="15" customHeight="1" x14ac:dyDescent="0.25">
      <c r="A47" s="14"/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6"/>
    </row>
    <row r="48" spans="1:30" ht="15" customHeight="1" x14ac:dyDescent="0.25">
      <c r="A48" s="14"/>
      <c r="B48" s="118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6"/>
    </row>
    <row r="49" spans="1:19" ht="15" customHeight="1" x14ac:dyDescent="0.25">
      <c r="A49" s="14"/>
      <c r="B49" s="118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6"/>
    </row>
    <row r="50" spans="1:19" ht="15" customHeight="1" x14ac:dyDescent="0.25">
      <c r="A50" s="80"/>
      <c r="B50" s="54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6"/>
    </row>
    <row r="51" spans="1:19" ht="15" customHeight="1" x14ac:dyDescent="0.25">
      <c r="A51" s="80"/>
      <c r="B51" s="59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"/>
    </row>
    <row r="52" spans="1:19" ht="15" customHeight="1" x14ac:dyDescent="0.25">
      <c r="A52" s="80"/>
      <c r="B52" s="54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6"/>
    </row>
    <row r="53" spans="1:19" x14ac:dyDescent="0.25">
      <c r="A53" s="15"/>
      <c r="S53" s="6"/>
    </row>
    <row r="54" spans="1:19" ht="15" customHeight="1" x14ac:dyDescent="0.25">
      <c r="A54" s="127" t="s">
        <v>163</v>
      </c>
      <c r="B54" s="118"/>
      <c r="C54" s="118"/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6"/>
    </row>
    <row r="55" spans="1:19" x14ac:dyDescent="0.25">
      <c r="A55" s="127"/>
      <c r="B55" s="118"/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6"/>
    </row>
    <row r="56" spans="1:19" x14ac:dyDescent="0.25">
      <c r="A56" s="127"/>
      <c r="B56" s="118"/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6"/>
    </row>
    <row r="57" spans="1:19" x14ac:dyDescent="0.25">
      <c r="A57" s="127"/>
      <c r="B57" s="118"/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6"/>
    </row>
    <row r="58" spans="1:19" x14ac:dyDescent="0.25">
      <c r="A58" s="127"/>
      <c r="B58" s="118"/>
      <c r="C58" s="118"/>
      <c r="D58" s="118"/>
      <c r="E58" s="118"/>
      <c r="F58" s="118"/>
      <c r="G58" s="118"/>
      <c r="H58" s="118"/>
      <c r="I58" s="118"/>
      <c r="J58" s="118"/>
      <c r="K58" s="118"/>
      <c r="L58" s="118"/>
      <c r="M58" s="118"/>
      <c r="N58" s="118"/>
      <c r="O58" s="118"/>
      <c r="P58" s="118"/>
      <c r="Q58" s="118"/>
      <c r="R58" s="118"/>
      <c r="S58" s="6"/>
    </row>
    <row r="59" spans="1:19" x14ac:dyDescent="0.25">
      <c r="A59" s="127"/>
      <c r="B59" s="118"/>
      <c r="C59" s="118"/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6"/>
    </row>
    <row r="60" spans="1:19" x14ac:dyDescent="0.25">
      <c r="A60" s="127"/>
      <c r="B60" s="118"/>
      <c r="C60" s="118"/>
      <c r="D60" s="118"/>
      <c r="E60" s="118"/>
      <c r="F60" s="118"/>
      <c r="G60" s="118"/>
      <c r="H60" s="118"/>
      <c r="I60" s="118"/>
      <c r="J60" s="118"/>
      <c r="K60" s="118"/>
      <c r="L60" s="118"/>
      <c r="M60" s="118"/>
      <c r="N60" s="118"/>
      <c r="O60" s="118"/>
      <c r="P60" s="118"/>
      <c r="Q60" s="118"/>
      <c r="R60" s="118"/>
      <c r="S60" s="6"/>
    </row>
    <row r="61" spans="1:19" x14ac:dyDescent="0.25">
      <c r="A61" s="127"/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6"/>
    </row>
    <row r="62" spans="1:19" x14ac:dyDescent="0.25">
      <c r="A62" s="127"/>
      <c r="B62" s="118"/>
      <c r="C62" s="118"/>
      <c r="D62" s="118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6"/>
    </row>
    <row r="63" spans="1:19" x14ac:dyDescent="0.25">
      <c r="A63" s="127"/>
      <c r="B63" s="118"/>
      <c r="C63" s="118"/>
      <c r="D63" s="118"/>
      <c r="E63" s="118"/>
      <c r="F63" s="118"/>
      <c r="G63" s="118"/>
      <c r="H63" s="118"/>
      <c r="I63" s="118"/>
      <c r="J63" s="118"/>
      <c r="K63" s="118"/>
      <c r="L63" s="118"/>
      <c r="M63" s="118"/>
      <c r="N63" s="118"/>
      <c r="O63" s="118"/>
      <c r="P63" s="118"/>
      <c r="Q63" s="118"/>
      <c r="R63" s="118"/>
      <c r="S63" s="6"/>
    </row>
    <row r="64" spans="1:19" x14ac:dyDescent="0.25">
      <c r="A64" s="127"/>
      <c r="B64" s="118"/>
      <c r="C64" s="118"/>
      <c r="D64" s="118"/>
      <c r="E64" s="118"/>
      <c r="F64" s="118"/>
      <c r="G64" s="118"/>
      <c r="H64" s="118"/>
      <c r="I64" s="118"/>
      <c r="J64" s="118"/>
      <c r="K64" s="118"/>
      <c r="L64" s="118"/>
      <c r="M64" s="118"/>
      <c r="N64" s="118"/>
      <c r="O64" s="118"/>
      <c r="P64" s="118"/>
      <c r="Q64" s="118"/>
      <c r="R64" s="118"/>
      <c r="S64" s="6"/>
    </row>
    <row r="65" spans="1:19" x14ac:dyDescent="0.25">
      <c r="A65" s="127"/>
      <c r="B65" s="118"/>
      <c r="C65" s="118"/>
      <c r="D65" s="118"/>
      <c r="E65" s="118"/>
      <c r="F65" s="118"/>
      <c r="G65" s="118"/>
      <c r="H65" s="118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6"/>
    </row>
    <row r="66" spans="1:19" x14ac:dyDescent="0.25">
      <c r="A66" s="127"/>
      <c r="B66" s="118"/>
      <c r="C66" s="118"/>
      <c r="D66" s="118"/>
      <c r="E66" s="118"/>
      <c r="F66" s="118"/>
      <c r="G66" s="118"/>
      <c r="H66" s="118"/>
      <c r="I66" s="118"/>
      <c r="J66" s="118"/>
      <c r="K66" s="118"/>
      <c r="L66" s="118"/>
      <c r="M66" s="118"/>
      <c r="N66" s="118"/>
      <c r="O66" s="118"/>
      <c r="P66" s="118"/>
      <c r="Q66" s="118"/>
      <c r="R66" s="118"/>
      <c r="S66" s="6"/>
    </row>
    <row r="67" spans="1:19" x14ac:dyDescent="0.25">
      <c r="A67" s="127"/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6"/>
    </row>
    <row r="68" spans="1:19" x14ac:dyDescent="0.25">
      <c r="A68" s="127"/>
      <c r="B68" s="118"/>
      <c r="C68" s="118"/>
      <c r="D68" s="118"/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118"/>
      <c r="Q68" s="118"/>
      <c r="R68" s="118"/>
      <c r="S68" s="6"/>
    </row>
    <row r="69" spans="1:19" x14ac:dyDescent="0.25">
      <c r="A69" s="127"/>
      <c r="B69" s="118"/>
      <c r="C69" s="118"/>
      <c r="D69" s="118"/>
      <c r="E69" s="118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118"/>
      <c r="Q69" s="118"/>
      <c r="R69" s="118"/>
      <c r="S69" s="6"/>
    </row>
    <row r="70" spans="1:19" x14ac:dyDescent="0.25">
      <c r="A70" s="127"/>
      <c r="B70" s="118"/>
      <c r="C70" s="118"/>
      <c r="D70" s="118"/>
      <c r="E70" s="118"/>
      <c r="F70" s="118"/>
      <c r="G70" s="118"/>
      <c r="H70" s="118"/>
      <c r="I70" s="118"/>
      <c r="J70" s="118"/>
      <c r="K70" s="118"/>
      <c r="L70" s="118"/>
      <c r="M70" s="118"/>
      <c r="N70" s="118"/>
      <c r="O70" s="118"/>
      <c r="P70" s="118"/>
      <c r="Q70" s="118"/>
      <c r="R70" s="118"/>
      <c r="S70" s="6"/>
    </row>
    <row r="71" spans="1:19" x14ac:dyDescent="0.25">
      <c r="A71" s="127"/>
      <c r="B71" s="118"/>
      <c r="C71" s="118"/>
      <c r="D71" s="118"/>
      <c r="E71" s="118"/>
      <c r="F71" s="118"/>
      <c r="G71" s="118"/>
      <c r="H71" s="118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6"/>
    </row>
    <row r="72" spans="1:19" x14ac:dyDescent="0.25">
      <c r="A72" s="127"/>
      <c r="B72" s="118"/>
      <c r="C72" s="118"/>
      <c r="D72" s="118"/>
      <c r="E72" s="118"/>
      <c r="F72" s="118"/>
      <c r="G72" s="118"/>
      <c r="H72" s="118"/>
      <c r="I72" s="118"/>
      <c r="J72" s="118"/>
      <c r="K72" s="118"/>
      <c r="L72" s="118"/>
      <c r="M72" s="118"/>
      <c r="N72" s="118"/>
      <c r="O72" s="118"/>
      <c r="P72" s="118"/>
      <c r="Q72" s="118"/>
      <c r="R72" s="118"/>
      <c r="S72" s="6"/>
    </row>
    <row r="73" spans="1:19" x14ac:dyDescent="0.25">
      <c r="A73" s="127"/>
      <c r="B73" s="118"/>
      <c r="C73" s="118"/>
      <c r="D73" s="118"/>
      <c r="E73" s="118"/>
      <c r="F73" s="118"/>
      <c r="G73" s="118"/>
      <c r="H73" s="118"/>
      <c r="I73" s="118"/>
      <c r="J73" s="118"/>
      <c r="K73" s="118"/>
      <c r="L73" s="118"/>
      <c r="M73" s="118"/>
      <c r="N73" s="118"/>
      <c r="O73" s="118"/>
      <c r="P73" s="118"/>
      <c r="Q73" s="118"/>
      <c r="R73" s="118"/>
      <c r="S73" s="6"/>
    </row>
    <row r="74" spans="1:19" x14ac:dyDescent="0.25">
      <c r="A74" s="127"/>
      <c r="B74" s="118"/>
      <c r="C74" s="118"/>
      <c r="D74" s="118"/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6"/>
    </row>
    <row r="75" spans="1:19" x14ac:dyDescent="0.25">
      <c r="A75" s="127"/>
      <c r="B75" s="118"/>
      <c r="C75" s="118"/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6"/>
    </row>
    <row r="76" spans="1:19" x14ac:dyDescent="0.25">
      <c r="A76" s="127"/>
      <c r="B76" s="118"/>
      <c r="C76" s="118"/>
      <c r="D76" s="118"/>
      <c r="E76" s="118"/>
      <c r="F76" s="118"/>
      <c r="G76" s="118"/>
      <c r="H76" s="118"/>
      <c r="I76" s="118"/>
      <c r="J76" s="118"/>
      <c r="K76" s="118"/>
      <c r="L76" s="118"/>
      <c r="M76" s="118"/>
      <c r="N76" s="118"/>
      <c r="O76" s="118"/>
      <c r="P76" s="118"/>
      <c r="Q76" s="118"/>
      <c r="R76" s="118"/>
      <c r="S76" s="6"/>
    </row>
    <row r="77" spans="1:19" x14ac:dyDescent="0.25">
      <c r="A77" s="127"/>
      <c r="B77" s="118"/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6"/>
    </row>
    <row r="78" spans="1:19" x14ac:dyDescent="0.25">
      <c r="A78" s="127"/>
      <c r="B78" s="118"/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6"/>
    </row>
    <row r="79" spans="1:19" x14ac:dyDescent="0.25">
      <c r="A79" s="127"/>
      <c r="B79" s="118"/>
      <c r="C79" s="118"/>
      <c r="D79" s="118"/>
      <c r="E79" s="118"/>
      <c r="F79" s="118"/>
      <c r="G79" s="118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6"/>
    </row>
    <row r="80" spans="1:19" x14ac:dyDescent="0.25">
      <c r="A80" s="127"/>
      <c r="B80" s="118"/>
      <c r="C80" s="118"/>
      <c r="D80" s="118"/>
      <c r="E80" s="118"/>
      <c r="F80" s="118"/>
      <c r="G80" s="118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6"/>
    </row>
    <row r="81" spans="1:26" x14ac:dyDescent="0.25">
      <c r="A81" s="127"/>
      <c r="B81" s="118"/>
      <c r="C81" s="118"/>
      <c r="D81" s="118"/>
      <c r="E81" s="118"/>
      <c r="F81" s="118"/>
      <c r="G81" s="118"/>
      <c r="H81" s="118"/>
      <c r="I81" s="118"/>
      <c r="J81" s="118"/>
      <c r="K81" s="118"/>
      <c r="L81" s="118"/>
      <c r="M81" s="118"/>
      <c r="N81" s="118"/>
      <c r="O81" s="118"/>
      <c r="P81" s="118"/>
      <c r="Q81" s="118"/>
      <c r="R81" s="118"/>
      <c r="S81" s="6"/>
    </row>
    <row r="82" spans="1:26" x14ac:dyDescent="0.25">
      <c r="A82" s="127"/>
      <c r="B82" s="118"/>
      <c r="C82" s="118"/>
      <c r="D82" s="118"/>
      <c r="E82" s="118"/>
      <c r="F82" s="118"/>
      <c r="G82" s="118"/>
      <c r="H82" s="118"/>
      <c r="I82" s="118"/>
      <c r="J82" s="118"/>
      <c r="K82" s="118"/>
      <c r="L82" s="118"/>
      <c r="M82" s="118"/>
      <c r="N82" s="118"/>
      <c r="O82" s="118"/>
      <c r="P82" s="118"/>
      <c r="Q82" s="118"/>
      <c r="R82" s="118"/>
      <c r="S82" s="6"/>
    </row>
    <row r="83" spans="1:26" x14ac:dyDescent="0.25">
      <c r="A83" s="127"/>
      <c r="B83" s="118"/>
      <c r="C83" s="118"/>
      <c r="D83" s="118"/>
      <c r="E83" s="118"/>
      <c r="F83" s="118"/>
      <c r="G83" s="118"/>
      <c r="H83" s="118"/>
      <c r="I83" s="118"/>
      <c r="J83" s="118"/>
      <c r="K83" s="118"/>
      <c r="L83" s="118"/>
      <c r="M83" s="118"/>
      <c r="N83" s="118"/>
      <c r="O83" s="118"/>
      <c r="P83" s="118"/>
      <c r="Q83" s="118"/>
      <c r="R83" s="118"/>
      <c r="S83" s="6"/>
    </row>
    <row r="84" spans="1:26" x14ac:dyDescent="0.25">
      <c r="A84" s="127"/>
      <c r="B84" s="118"/>
      <c r="C84" s="118"/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118"/>
      <c r="Q84" s="118"/>
      <c r="R84" s="118"/>
      <c r="S84" s="6"/>
    </row>
    <row r="85" spans="1:26" x14ac:dyDescent="0.25">
      <c r="A85" s="127"/>
      <c r="B85" s="118"/>
      <c r="C85" s="118"/>
      <c r="D85" s="118"/>
      <c r="E85" s="118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118"/>
      <c r="Q85" s="118"/>
      <c r="R85" s="118"/>
      <c r="S85" s="6"/>
    </row>
    <row r="86" spans="1:26" x14ac:dyDescent="0.25">
      <c r="A86" s="127"/>
      <c r="B86" s="118"/>
      <c r="C86" s="118"/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8"/>
      <c r="Q86" s="118"/>
      <c r="R86" s="118"/>
      <c r="S86" s="6"/>
      <c r="Z86" s="30"/>
    </row>
    <row r="87" spans="1:26" x14ac:dyDescent="0.25">
      <c r="A87" s="127"/>
      <c r="B87" s="118"/>
      <c r="C87" s="118"/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118"/>
      <c r="Q87" s="118"/>
      <c r="R87" s="118"/>
      <c r="S87" s="6"/>
    </row>
    <row r="88" spans="1:26" x14ac:dyDescent="0.25">
      <c r="A88" s="127"/>
      <c r="B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6"/>
    </row>
    <row r="89" spans="1:26" x14ac:dyDescent="0.25">
      <c r="A89" s="127"/>
      <c r="B89" s="11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18"/>
      <c r="O89" s="118"/>
      <c r="P89" s="118"/>
      <c r="Q89" s="118"/>
      <c r="R89" s="118"/>
      <c r="S89" s="6"/>
    </row>
    <row r="90" spans="1:26" x14ac:dyDescent="0.25">
      <c r="A90" s="127"/>
      <c r="B90" s="118"/>
      <c r="C90" s="118"/>
      <c r="D90" s="118"/>
      <c r="E90" s="118"/>
      <c r="F90" s="118"/>
      <c r="G90" s="118"/>
      <c r="H90" s="118"/>
      <c r="I90" s="118"/>
      <c r="J90" s="118"/>
      <c r="K90" s="118"/>
      <c r="L90" s="118"/>
      <c r="M90" s="118"/>
      <c r="N90" s="118"/>
      <c r="O90" s="118"/>
      <c r="P90" s="118"/>
      <c r="Q90" s="118"/>
      <c r="R90" s="118"/>
      <c r="S90" s="76"/>
    </row>
    <row r="91" spans="1:26" x14ac:dyDescent="0.25">
      <c r="A91" s="127"/>
      <c r="B91" s="118"/>
      <c r="C91" s="118"/>
      <c r="D91" s="118"/>
      <c r="E91" s="118"/>
      <c r="F91" s="118"/>
      <c r="G91" s="118"/>
      <c r="H91" s="118"/>
      <c r="I91" s="118"/>
      <c r="J91" s="118"/>
      <c r="K91" s="118"/>
      <c r="L91" s="118"/>
      <c r="M91" s="118"/>
      <c r="N91" s="118"/>
      <c r="O91" s="118"/>
      <c r="P91" s="118"/>
      <c r="Q91" s="118"/>
      <c r="R91" s="118"/>
      <c r="S91" s="77"/>
    </row>
    <row r="92" spans="1:26" ht="15" customHeight="1" x14ac:dyDescent="0.25">
      <c r="A92" s="127"/>
      <c r="B92" s="118"/>
      <c r="C92" s="118"/>
      <c r="D92" s="118"/>
      <c r="E92" s="118"/>
      <c r="F92" s="118"/>
      <c r="G92" s="118"/>
      <c r="H92" s="118"/>
      <c r="I92" s="118"/>
      <c r="J92" s="118"/>
      <c r="K92" s="118"/>
      <c r="L92" s="118"/>
      <c r="M92" s="118"/>
      <c r="N92" s="118"/>
      <c r="O92" s="118"/>
      <c r="P92" s="118"/>
      <c r="Q92" s="118"/>
      <c r="R92" s="118"/>
      <c r="S92" s="77"/>
    </row>
    <row r="93" spans="1:26" ht="15" customHeight="1" x14ac:dyDescent="0.25">
      <c r="A93" s="14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77"/>
    </row>
    <row r="94" spans="1:26" ht="15" customHeight="1" x14ac:dyDescent="0.25">
      <c r="A94" s="14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77"/>
    </row>
    <row r="95" spans="1:26" ht="15" customHeight="1" x14ac:dyDescent="0.25">
      <c r="A95" s="80"/>
      <c r="B95" s="54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77"/>
    </row>
    <row r="96" spans="1:26" ht="15" customHeight="1" x14ac:dyDescent="0.25">
      <c r="A96" s="80"/>
      <c r="B96" s="54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77"/>
    </row>
    <row r="97" spans="1:19" ht="15" customHeight="1" x14ac:dyDescent="0.25">
      <c r="A97" s="80"/>
      <c r="B97" s="125"/>
      <c r="C97" s="125"/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77"/>
    </row>
    <row r="98" spans="1:19" ht="15" customHeight="1" x14ac:dyDescent="0.25">
      <c r="A98" s="82"/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77"/>
    </row>
    <row r="99" spans="1:19" ht="15" customHeight="1" x14ac:dyDescent="0.25">
      <c r="A99" s="128"/>
      <c r="B99" s="125"/>
      <c r="C99" s="125"/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6"/>
    </row>
    <row r="100" spans="1:19" ht="15" customHeight="1" x14ac:dyDescent="0.25">
      <c r="A100" s="128"/>
      <c r="B100" s="125"/>
      <c r="C100" s="125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6"/>
    </row>
    <row r="101" spans="1:19" ht="15" customHeight="1" x14ac:dyDescent="0.25">
      <c r="A101" s="128"/>
      <c r="B101" s="125"/>
      <c r="C101" s="125"/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6"/>
    </row>
    <row r="102" spans="1:19" ht="15" customHeight="1" x14ac:dyDescent="0.25">
      <c r="A102" s="128"/>
      <c r="B102" s="125"/>
      <c r="C102" s="125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6"/>
    </row>
    <row r="103" spans="1:19" ht="15" customHeight="1" x14ac:dyDescent="0.25">
      <c r="A103" s="128"/>
      <c r="B103" s="125"/>
      <c r="C103" s="125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6"/>
    </row>
    <row r="104" spans="1:19" ht="15" customHeight="1" x14ac:dyDescent="0.25">
      <c r="A104" s="128"/>
      <c r="B104" s="125"/>
      <c r="C104" s="125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6"/>
    </row>
    <row r="105" spans="1:19" ht="15" customHeight="1" x14ac:dyDescent="0.25">
      <c r="A105" s="128"/>
      <c r="B105" s="125"/>
      <c r="C105" s="125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6"/>
    </row>
    <row r="106" spans="1:19" ht="15" customHeight="1" x14ac:dyDescent="0.25">
      <c r="A106" s="128"/>
      <c r="B106" s="125"/>
      <c r="C106" s="125"/>
      <c r="D106" s="125"/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6"/>
    </row>
    <row r="107" spans="1:19" ht="15" customHeight="1" x14ac:dyDescent="0.25">
      <c r="A107" s="128"/>
      <c r="B107" s="125"/>
      <c r="C107" s="125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6"/>
    </row>
    <row r="108" spans="1:19" ht="15" customHeight="1" x14ac:dyDescent="0.25">
      <c r="A108" s="128"/>
      <c r="B108" s="125"/>
      <c r="C108" s="125"/>
      <c r="D108" s="125"/>
      <c r="E108" s="125"/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6"/>
    </row>
    <row r="109" spans="1:19" ht="15" customHeight="1" x14ac:dyDescent="0.25">
      <c r="A109" s="128"/>
      <c r="B109" s="125"/>
      <c r="C109" s="125"/>
      <c r="D109" s="125"/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6"/>
    </row>
    <row r="110" spans="1:19" ht="15" customHeight="1" x14ac:dyDescent="0.25">
      <c r="A110" s="128"/>
      <c r="B110" s="125"/>
      <c r="C110" s="125"/>
      <c r="D110" s="125"/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6"/>
    </row>
    <row r="111" spans="1:19" ht="15" customHeight="1" x14ac:dyDescent="0.25">
      <c r="A111" s="128"/>
      <c r="B111" s="125"/>
      <c r="C111" s="125"/>
      <c r="D111" s="125"/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6"/>
    </row>
    <row r="112" spans="1:19" ht="15" customHeight="1" x14ac:dyDescent="0.25">
      <c r="A112" s="128"/>
      <c r="B112" s="125"/>
      <c r="C112" s="125"/>
      <c r="D112" s="125"/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6"/>
    </row>
    <row r="113" spans="1:19" ht="15" customHeight="1" x14ac:dyDescent="0.25">
      <c r="A113" s="128"/>
      <c r="B113" s="125"/>
      <c r="C113" s="125"/>
      <c r="D113" s="125"/>
      <c r="E113" s="125"/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6"/>
    </row>
    <row r="114" spans="1:19" ht="15" customHeight="1" x14ac:dyDescent="0.25">
      <c r="A114" s="128"/>
      <c r="B114" s="125"/>
      <c r="C114" s="125"/>
      <c r="D114" s="125"/>
      <c r="E114" s="125"/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6"/>
    </row>
    <row r="115" spans="1:19" ht="15" customHeight="1" x14ac:dyDescent="0.25">
      <c r="A115" s="128"/>
      <c r="B115" s="125"/>
      <c r="C115" s="125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6"/>
    </row>
    <row r="116" spans="1:19" ht="15" customHeight="1" x14ac:dyDescent="0.25">
      <c r="A116" s="128"/>
      <c r="B116" s="125"/>
      <c r="C116" s="125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6"/>
    </row>
    <row r="117" spans="1:19" ht="15" customHeight="1" x14ac:dyDescent="0.25">
      <c r="A117" s="128"/>
      <c r="B117" s="125"/>
      <c r="C117" s="125"/>
      <c r="D117" s="125"/>
      <c r="E117" s="125"/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6"/>
    </row>
    <row r="118" spans="1:19" ht="15" customHeight="1" x14ac:dyDescent="0.25">
      <c r="A118" s="128"/>
      <c r="B118" s="125"/>
      <c r="C118" s="125"/>
      <c r="D118" s="125"/>
      <c r="E118" s="125"/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6"/>
    </row>
    <row r="119" spans="1:19" ht="15" customHeight="1" x14ac:dyDescent="0.25">
      <c r="A119" s="128"/>
      <c r="B119" s="125"/>
      <c r="C119" s="125"/>
      <c r="D119" s="125"/>
      <c r="E119" s="125"/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6"/>
    </row>
    <row r="120" spans="1:19" ht="15" customHeight="1" x14ac:dyDescent="0.25">
      <c r="A120" s="128"/>
      <c r="B120" s="125"/>
      <c r="C120" s="125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6"/>
    </row>
    <row r="121" spans="1:19" ht="15" customHeight="1" x14ac:dyDescent="0.25">
      <c r="A121" s="128"/>
      <c r="B121" s="125"/>
      <c r="C121" s="125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6"/>
    </row>
    <row r="122" spans="1:19" ht="15" customHeight="1" x14ac:dyDescent="0.25">
      <c r="A122" s="128"/>
      <c r="B122" s="125"/>
      <c r="C122" s="125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6"/>
    </row>
    <row r="123" spans="1:19" ht="15" customHeight="1" x14ac:dyDescent="0.25">
      <c r="A123" s="128"/>
      <c r="B123" s="125"/>
      <c r="C123" s="125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6"/>
    </row>
    <row r="124" spans="1:19" ht="15" customHeight="1" x14ac:dyDescent="0.25">
      <c r="A124" s="128"/>
      <c r="B124" s="125"/>
      <c r="C124" s="125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6"/>
    </row>
    <row r="125" spans="1:19" ht="15" customHeight="1" x14ac:dyDescent="0.25">
      <c r="A125" s="128"/>
      <c r="B125" s="125"/>
      <c r="C125" s="125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6"/>
    </row>
    <row r="126" spans="1:19" ht="15" customHeight="1" x14ac:dyDescent="0.25">
      <c r="A126" s="128"/>
      <c r="B126" s="125"/>
      <c r="C126" s="125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6"/>
    </row>
    <row r="127" spans="1:19" ht="15" customHeight="1" x14ac:dyDescent="0.25">
      <c r="A127" s="128"/>
      <c r="B127" s="125"/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6"/>
    </row>
    <row r="128" spans="1:19" ht="15" customHeight="1" x14ac:dyDescent="0.25">
      <c r="A128" s="128"/>
      <c r="B128" s="125"/>
      <c r="C128" s="125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6"/>
    </row>
    <row r="129" spans="1:27" ht="15" customHeight="1" x14ac:dyDescent="0.25">
      <c r="A129" s="128"/>
      <c r="B129" s="125"/>
      <c r="C129" s="125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6"/>
    </row>
    <row r="130" spans="1:27" ht="15" customHeight="1" x14ac:dyDescent="0.25">
      <c r="A130" s="128"/>
      <c r="B130" s="125"/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6"/>
    </row>
    <row r="131" spans="1:27" ht="15" customHeight="1" x14ac:dyDescent="0.25">
      <c r="A131" s="128"/>
      <c r="B131" s="125"/>
      <c r="C131" s="125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6"/>
    </row>
    <row r="132" spans="1:27" ht="15" customHeight="1" x14ac:dyDescent="0.25">
      <c r="A132" s="5"/>
      <c r="B132" s="125"/>
      <c r="C132" s="125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6"/>
    </row>
    <row r="133" spans="1:27" ht="15" customHeight="1" x14ac:dyDescent="0.25">
      <c r="A133" s="5"/>
      <c r="B133" s="125"/>
      <c r="C133" s="125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6"/>
    </row>
    <row r="134" spans="1:27" ht="15" customHeight="1" x14ac:dyDescent="0.25">
      <c r="A134" s="5"/>
      <c r="B134" s="125"/>
      <c r="C134" s="125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6"/>
    </row>
    <row r="135" spans="1:27" ht="15" customHeight="1" x14ac:dyDescent="0.25">
      <c r="A135" s="5"/>
      <c r="B135" s="125"/>
      <c r="C135" s="125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6"/>
    </row>
    <row r="136" spans="1:27" x14ac:dyDescent="0.25">
      <c r="A136" s="15"/>
      <c r="S136" s="6"/>
    </row>
    <row r="137" spans="1:27" ht="15" customHeight="1" x14ac:dyDescent="0.25">
      <c r="A137" s="14"/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6"/>
    </row>
    <row r="138" spans="1:27" ht="15" customHeight="1" x14ac:dyDescent="0.25">
      <c r="A138" s="14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6"/>
    </row>
    <row r="139" spans="1:27" ht="15" customHeight="1" x14ac:dyDescent="0.25">
      <c r="A139" s="14"/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6"/>
    </row>
    <row r="140" spans="1:27" ht="15" customHeight="1" x14ac:dyDescent="0.25">
      <c r="A140" s="80"/>
      <c r="B140" s="54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76"/>
    </row>
    <row r="141" spans="1:27" ht="15" customHeight="1" x14ac:dyDescent="0.25">
      <c r="A141" s="80"/>
      <c r="B141" s="54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76"/>
    </row>
    <row r="142" spans="1:27" ht="15" customHeight="1" x14ac:dyDescent="0.25">
      <c r="A142" s="83"/>
      <c r="B142" s="59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78"/>
    </row>
    <row r="143" spans="1:27" x14ac:dyDescent="0.25">
      <c r="G143" s="30"/>
      <c r="AA143" s="2"/>
    </row>
    <row r="144" spans="1:27" ht="15" customHeight="1" x14ac:dyDescent="0.25">
      <c r="G144" s="30"/>
      <c r="AA144" s="2"/>
    </row>
    <row r="145" spans="7:27" x14ac:dyDescent="0.25">
      <c r="G145" s="30"/>
      <c r="AA145" s="2"/>
    </row>
    <row r="146" spans="7:27" x14ac:dyDescent="0.25">
      <c r="G146" s="30"/>
      <c r="AA146" s="2"/>
    </row>
    <row r="147" spans="7:27" x14ac:dyDescent="0.25">
      <c r="G147" s="30"/>
      <c r="AA147" s="2"/>
    </row>
    <row r="148" spans="7:27" x14ac:dyDescent="0.25">
      <c r="G148" s="30"/>
      <c r="AA148" s="2"/>
    </row>
    <row r="149" spans="7:27" x14ac:dyDescent="0.25">
      <c r="G149" s="30"/>
      <c r="AA149" s="2"/>
    </row>
    <row r="150" spans="7:27" x14ac:dyDescent="0.25">
      <c r="G150" s="30"/>
      <c r="AA150" s="2"/>
    </row>
    <row r="151" spans="7:27" x14ac:dyDescent="0.25">
      <c r="G151" s="30"/>
      <c r="AA151" s="2"/>
    </row>
    <row r="152" spans="7:27" x14ac:dyDescent="0.25">
      <c r="G152" s="30"/>
      <c r="AA152" s="2"/>
    </row>
    <row r="153" spans="7:27" x14ac:dyDescent="0.25">
      <c r="G153" s="30"/>
      <c r="AA153" s="2"/>
    </row>
    <row r="154" spans="7:27" x14ac:dyDescent="0.25">
      <c r="G154" s="30"/>
      <c r="AA154" s="2"/>
    </row>
    <row r="155" spans="7:27" x14ac:dyDescent="0.25">
      <c r="G155" s="30"/>
      <c r="AA155" s="2"/>
    </row>
    <row r="156" spans="7:27" x14ac:dyDescent="0.25">
      <c r="G156" s="30"/>
      <c r="AA156" s="2"/>
    </row>
    <row r="157" spans="7:27" x14ac:dyDescent="0.25">
      <c r="G157" s="30"/>
      <c r="AA157" s="2"/>
    </row>
    <row r="158" spans="7:27" x14ac:dyDescent="0.25">
      <c r="G158" s="30"/>
      <c r="AA158" s="2"/>
    </row>
    <row r="159" spans="7:27" x14ac:dyDescent="0.25">
      <c r="G159" s="30"/>
      <c r="AA159" s="2"/>
    </row>
    <row r="160" spans="7:27" x14ac:dyDescent="0.25">
      <c r="G160" s="30"/>
      <c r="AA160" s="2"/>
    </row>
    <row r="161" spans="7:27" x14ac:dyDescent="0.25">
      <c r="G161" s="30"/>
      <c r="AA161" s="2"/>
    </row>
    <row r="162" spans="7:27" x14ac:dyDescent="0.25">
      <c r="G162" s="30"/>
      <c r="AA162" s="2"/>
    </row>
    <row r="163" spans="7:27" x14ac:dyDescent="0.25">
      <c r="G163" s="30"/>
      <c r="AA163" s="2"/>
    </row>
    <row r="164" spans="7:27" x14ac:dyDescent="0.25">
      <c r="G164" s="30"/>
      <c r="AA164" s="2"/>
    </row>
    <row r="165" spans="7:27" x14ac:dyDescent="0.25">
      <c r="G165" s="30"/>
      <c r="AA165" s="2"/>
    </row>
    <row r="166" spans="7:27" x14ac:dyDescent="0.25">
      <c r="G166" s="30"/>
      <c r="AA166" s="2"/>
    </row>
    <row r="167" spans="7:27" x14ac:dyDescent="0.25">
      <c r="G167" s="30"/>
      <c r="AA167" s="2"/>
    </row>
    <row r="168" spans="7:27" x14ac:dyDescent="0.25">
      <c r="G168" s="30"/>
      <c r="AA168" s="2"/>
    </row>
    <row r="169" spans="7:27" x14ac:dyDescent="0.25">
      <c r="G169" s="30"/>
      <c r="AA169" s="2"/>
    </row>
    <row r="170" spans="7:27" x14ac:dyDescent="0.25">
      <c r="G170" s="30"/>
      <c r="AA170" s="2"/>
    </row>
    <row r="171" spans="7:27" x14ac:dyDescent="0.25">
      <c r="G171" s="30"/>
      <c r="AA171" s="2"/>
    </row>
    <row r="172" spans="7:27" x14ac:dyDescent="0.25">
      <c r="G172" s="30"/>
      <c r="AA172" s="2"/>
    </row>
    <row r="173" spans="7:27" x14ac:dyDescent="0.25">
      <c r="G173" s="30"/>
      <c r="AA173" s="2"/>
    </row>
    <row r="174" spans="7:27" x14ac:dyDescent="0.25">
      <c r="G174" s="30"/>
      <c r="AA174" s="2"/>
    </row>
    <row r="175" spans="7:27" x14ac:dyDescent="0.25">
      <c r="G175" s="30"/>
      <c r="AA175" s="2"/>
    </row>
    <row r="176" spans="7:27" x14ac:dyDescent="0.25">
      <c r="G176" s="30"/>
      <c r="AA176" s="2"/>
    </row>
    <row r="177" spans="7:27" x14ac:dyDescent="0.25">
      <c r="G177" s="30"/>
      <c r="AA177" s="2"/>
    </row>
    <row r="178" spans="7:27" x14ac:dyDescent="0.25">
      <c r="G178" s="30"/>
      <c r="AA178" s="2"/>
    </row>
    <row r="179" spans="7:27" x14ac:dyDescent="0.25">
      <c r="G179" s="30"/>
      <c r="AA179" s="2"/>
    </row>
    <row r="180" spans="7:27" x14ac:dyDescent="0.25">
      <c r="G180" s="30"/>
      <c r="AA180" s="2"/>
    </row>
    <row r="181" spans="7:27" x14ac:dyDescent="0.25">
      <c r="G181" s="30"/>
      <c r="AA181" s="2"/>
    </row>
    <row r="182" spans="7:27" ht="15" customHeight="1" x14ac:dyDescent="0.25">
      <c r="G182" s="30"/>
      <c r="AA182" s="2"/>
    </row>
    <row r="183" spans="7:27" ht="15" customHeight="1" x14ac:dyDescent="0.25">
      <c r="G183" s="30"/>
      <c r="AA183" s="2"/>
    </row>
    <row r="184" spans="7:27" ht="15" customHeight="1" x14ac:dyDescent="0.25">
      <c r="G184" s="30"/>
      <c r="AA184" s="2"/>
    </row>
    <row r="185" spans="7:27" ht="15" customHeight="1" x14ac:dyDescent="0.25">
      <c r="G185" s="30"/>
      <c r="AA185" s="2"/>
    </row>
    <row r="186" spans="7:27" ht="15" customHeight="1" x14ac:dyDescent="0.25">
      <c r="G186" s="30"/>
      <c r="AA186" s="2"/>
    </row>
    <row r="187" spans="7:27" ht="15" customHeight="1" x14ac:dyDescent="0.25">
      <c r="G187" s="30"/>
      <c r="AA187" s="2"/>
    </row>
    <row r="188" spans="7:27" x14ac:dyDescent="0.25">
      <c r="G188" s="30"/>
      <c r="AA188" s="2"/>
    </row>
    <row r="189" spans="7:27" ht="15" customHeight="1" x14ac:dyDescent="0.25">
      <c r="G189" s="30"/>
      <c r="AA189" s="2"/>
    </row>
    <row r="190" spans="7:27" x14ac:dyDescent="0.25">
      <c r="G190" s="30"/>
      <c r="AA190" s="2"/>
    </row>
    <row r="191" spans="7:27" x14ac:dyDescent="0.25">
      <c r="G191" s="30"/>
      <c r="AA191" s="2"/>
    </row>
    <row r="192" spans="7:27" x14ac:dyDescent="0.25">
      <c r="G192" s="30"/>
      <c r="AA192" s="2"/>
    </row>
    <row r="193" spans="7:27" x14ac:dyDescent="0.25">
      <c r="G193" s="30"/>
      <c r="AA193" s="2"/>
    </row>
    <row r="194" spans="7:27" x14ac:dyDescent="0.25">
      <c r="G194" s="30"/>
      <c r="AA194" s="2"/>
    </row>
    <row r="195" spans="7:27" x14ac:dyDescent="0.25">
      <c r="G195" s="30"/>
      <c r="AA195" s="2"/>
    </row>
    <row r="196" spans="7:27" x14ac:dyDescent="0.25">
      <c r="G196" s="30"/>
      <c r="AA196" s="2"/>
    </row>
    <row r="197" spans="7:27" x14ac:dyDescent="0.25">
      <c r="G197" s="30"/>
      <c r="AA197" s="2"/>
    </row>
    <row r="198" spans="7:27" x14ac:dyDescent="0.25">
      <c r="G198" s="30"/>
      <c r="AA198" s="2"/>
    </row>
    <row r="199" spans="7:27" x14ac:dyDescent="0.25">
      <c r="G199" s="30"/>
      <c r="AA199" s="2"/>
    </row>
    <row r="200" spans="7:27" x14ac:dyDescent="0.25">
      <c r="G200" s="30"/>
      <c r="AA200" s="2"/>
    </row>
    <row r="201" spans="7:27" x14ac:dyDescent="0.25">
      <c r="G201" s="30"/>
      <c r="AA201" s="2"/>
    </row>
    <row r="202" spans="7:27" x14ac:dyDescent="0.25">
      <c r="G202" s="30"/>
      <c r="AA202" s="2"/>
    </row>
    <row r="203" spans="7:27" x14ac:dyDescent="0.25">
      <c r="G203" s="30"/>
      <c r="AA203" s="2"/>
    </row>
    <row r="204" spans="7:27" x14ac:dyDescent="0.25">
      <c r="G204" s="30"/>
      <c r="AA204" s="2"/>
    </row>
    <row r="205" spans="7:27" x14ac:dyDescent="0.25">
      <c r="G205" s="30"/>
      <c r="AA205" s="2"/>
    </row>
    <row r="206" spans="7:27" x14ac:dyDescent="0.25">
      <c r="G206" s="30"/>
      <c r="AA206" s="2"/>
    </row>
    <row r="207" spans="7:27" x14ac:dyDescent="0.25">
      <c r="G207" s="30"/>
      <c r="AA207" s="2"/>
    </row>
    <row r="208" spans="7:27" x14ac:dyDescent="0.25">
      <c r="G208" s="30"/>
      <c r="AA208" s="2"/>
    </row>
    <row r="209" spans="7:27" x14ac:dyDescent="0.25">
      <c r="G209" s="30"/>
      <c r="AA209" s="2"/>
    </row>
    <row r="210" spans="7:27" x14ac:dyDescent="0.25">
      <c r="G210" s="30"/>
      <c r="AA210" s="2"/>
    </row>
    <row r="211" spans="7:27" x14ac:dyDescent="0.25">
      <c r="G211" s="30"/>
      <c r="AA211" s="2"/>
    </row>
    <row r="212" spans="7:27" x14ac:dyDescent="0.25">
      <c r="G212" s="30"/>
      <c r="AA212" s="2"/>
    </row>
    <row r="213" spans="7:27" x14ac:dyDescent="0.25">
      <c r="G213" s="30"/>
      <c r="AA213" s="2"/>
    </row>
    <row r="214" spans="7:27" x14ac:dyDescent="0.25">
      <c r="G214" s="30"/>
      <c r="AA214" s="2"/>
    </row>
    <row r="215" spans="7:27" x14ac:dyDescent="0.25">
      <c r="G215" s="30"/>
      <c r="AA215" s="2"/>
    </row>
    <row r="216" spans="7:27" x14ac:dyDescent="0.25">
      <c r="G216" s="30"/>
      <c r="AA216" s="2"/>
    </row>
    <row r="217" spans="7:27" x14ac:dyDescent="0.25">
      <c r="G217" s="30"/>
      <c r="AA217" s="2"/>
    </row>
    <row r="218" spans="7:27" x14ac:dyDescent="0.25">
      <c r="G218" s="30"/>
      <c r="AA218" s="2"/>
    </row>
    <row r="219" spans="7:27" x14ac:dyDescent="0.25">
      <c r="G219" s="30"/>
      <c r="AA219" s="2"/>
    </row>
    <row r="220" spans="7:27" x14ac:dyDescent="0.25">
      <c r="G220" s="30"/>
      <c r="AA220" s="2"/>
    </row>
    <row r="221" spans="7:27" x14ac:dyDescent="0.25">
      <c r="G221" s="30"/>
      <c r="AA221" s="2"/>
    </row>
    <row r="222" spans="7:27" x14ac:dyDescent="0.25">
      <c r="G222" s="30"/>
      <c r="AA222" s="2"/>
    </row>
    <row r="223" spans="7:27" x14ac:dyDescent="0.25">
      <c r="G223" s="30"/>
      <c r="AA223" s="2"/>
    </row>
    <row r="224" spans="7:27" x14ac:dyDescent="0.25">
      <c r="G224" s="30"/>
      <c r="AA224" s="2"/>
    </row>
    <row r="225" spans="7:27" x14ac:dyDescent="0.25">
      <c r="G225" s="30"/>
      <c r="AA225" s="2"/>
    </row>
    <row r="226" spans="7:27" x14ac:dyDescent="0.25">
      <c r="G226" s="30"/>
      <c r="AA226" s="2"/>
    </row>
    <row r="227" spans="7:27" ht="15" customHeight="1" x14ac:dyDescent="0.25">
      <c r="G227" s="30"/>
      <c r="AA227" s="2"/>
    </row>
    <row r="228" spans="7:27" ht="15" customHeight="1" x14ac:dyDescent="0.25">
      <c r="G228" s="30"/>
      <c r="AA228" s="2"/>
    </row>
    <row r="229" spans="7:27" ht="15" customHeight="1" x14ac:dyDescent="0.25">
      <c r="G229" s="30"/>
      <c r="AA229" s="2"/>
    </row>
    <row r="230" spans="7:27" ht="15" customHeight="1" x14ac:dyDescent="0.25">
      <c r="G230" s="30"/>
      <c r="AA230" s="2"/>
    </row>
    <row r="231" spans="7:27" ht="15" customHeight="1" x14ac:dyDescent="0.25">
      <c r="G231" s="30"/>
      <c r="AA231" s="2"/>
    </row>
    <row r="232" spans="7:27" ht="15" customHeight="1" x14ac:dyDescent="0.25">
      <c r="G232" s="30"/>
      <c r="AA232" s="2"/>
    </row>
    <row r="233" spans="7:27" x14ac:dyDescent="0.25">
      <c r="G233" s="30"/>
      <c r="AA233" s="2"/>
    </row>
    <row r="234" spans="7:27" ht="15" customHeight="1" x14ac:dyDescent="0.25">
      <c r="G234" s="30"/>
      <c r="AA234" s="2"/>
    </row>
    <row r="235" spans="7:27" x14ac:dyDescent="0.25">
      <c r="G235" s="30"/>
      <c r="AA235" s="2"/>
    </row>
    <row r="236" spans="7:27" x14ac:dyDescent="0.25">
      <c r="G236" s="30"/>
      <c r="AA236" s="2"/>
    </row>
    <row r="237" spans="7:27" x14ac:dyDescent="0.25">
      <c r="G237" s="30"/>
      <c r="AA237" s="2"/>
    </row>
    <row r="238" spans="7:27" x14ac:dyDescent="0.25">
      <c r="G238" s="30"/>
      <c r="AA238" s="2"/>
    </row>
    <row r="239" spans="7:27" x14ac:dyDescent="0.25">
      <c r="G239" s="30"/>
      <c r="AA239" s="2"/>
    </row>
    <row r="240" spans="7:27" x14ac:dyDescent="0.25">
      <c r="G240" s="30"/>
      <c r="AA240" s="2"/>
    </row>
    <row r="241" spans="7:27" x14ac:dyDescent="0.25">
      <c r="G241" s="30"/>
      <c r="AA241" s="2"/>
    </row>
    <row r="242" spans="7:27" x14ac:dyDescent="0.25">
      <c r="G242" s="30"/>
      <c r="AA242" s="2"/>
    </row>
    <row r="243" spans="7:27" x14ac:dyDescent="0.25">
      <c r="G243" s="30"/>
      <c r="AA243" s="2"/>
    </row>
    <row r="244" spans="7:27" x14ac:dyDescent="0.25">
      <c r="G244" s="30"/>
      <c r="AA244" s="2"/>
    </row>
    <row r="245" spans="7:27" x14ac:dyDescent="0.25">
      <c r="G245" s="30"/>
      <c r="AA245" s="2"/>
    </row>
    <row r="246" spans="7:27" x14ac:dyDescent="0.25">
      <c r="G246" s="30"/>
      <c r="AA246" s="2"/>
    </row>
    <row r="247" spans="7:27" x14ac:dyDescent="0.25">
      <c r="G247" s="30"/>
      <c r="AA247" s="2"/>
    </row>
    <row r="248" spans="7:27" x14ac:dyDescent="0.25">
      <c r="G248" s="30"/>
      <c r="AA248" s="2"/>
    </row>
    <row r="249" spans="7:27" x14ac:dyDescent="0.25">
      <c r="G249" s="30"/>
      <c r="AA249" s="2"/>
    </row>
    <row r="250" spans="7:27" x14ac:dyDescent="0.25">
      <c r="G250" s="30"/>
      <c r="AA250" s="2"/>
    </row>
    <row r="251" spans="7:27" x14ac:dyDescent="0.25">
      <c r="G251" s="30"/>
      <c r="AA251" s="2"/>
    </row>
    <row r="252" spans="7:27" x14ac:dyDescent="0.25">
      <c r="G252" s="30"/>
      <c r="AA252" s="2"/>
    </row>
    <row r="253" spans="7:27" x14ac:dyDescent="0.25">
      <c r="G253" s="30"/>
      <c r="AA253" s="2"/>
    </row>
    <row r="254" spans="7:27" x14ac:dyDescent="0.25">
      <c r="G254" s="30"/>
      <c r="AA254" s="2"/>
    </row>
    <row r="255" spans="7:27" x14ac:dyDescent="0.25">
      <c r="G255" s="30"/>
      <c r="AA255" s="2"/>
    </row>
    <row r="256" spans="7:27" x14ac:dyDescent="0.25">
      <c r="G256" s="30"/>
      <c r="AA256" s="2"/>
    </row>
    <row r="257" spans="7:27" x14ac:dyDescent="0.25">
      <c r="G257" s="30"/>
      <c r="AA257" s="2"/>
    </row>
    <row r="258" spans="7:27" x14ac:dyDescent="0.25">
      <c r="G258" s="30"/>
      <c r="AA258" s="2"/>
    </row>
    <row r="259" spans="7:27" x14ac:dyDescent="0.25">
      <c r="G259" s="30"/>
      <c r="AA259" s="2"/>
    </row>
    <row r="260" spans="7:27" x14ac:dyDescent="0.25">
      <c r="G260" s="30"/>
      <c r="AA260" s="2"/>
    </row>
    <row r="261" spans="7:27" x14ac:dyDescent="0.25">
      <c r="G261" s="30"/>
      <c r="AA261" s="2"/>
    </row>
    <row r="262" spans="7:27" x14ac:dyDescent="0.25">
      <c r="G262" s="30"/>
      <c r="AA262" s="2"/>
    </row>
    <row r="263" spans="7:27" x14ac:dyDescent="0.25">
      <c r="G263" s="30"/>
      <c r="AA263" s="2"/>
    </row>
    <row r="264" spans="7:27" x14ac:dyDescent="0.25">
      <c r="G264" s="30"/>
      <c r="AA264" s="2"/>
    </row>
    <row r="265" spans="7:27" x14ac:dyDescent="0.25">
      <c r="G265" s="30"/>
      <c r="AA265" s="2"/>
    </row>
    <row r="266" spans="7:27" x14ac:dyDescent="0.25">
      <c r="G266" s="30"/>
      <c r="AA266" s="2"/>
    </row>
    <row r="267" spans="7:27" x14ac:dyDescent="0.25">
      <c r="G267" s="30"/>
      <c r="AA267" s="2"/>
    </row>
    <row r="268" spans="7:27" x14ac:dyDescent="0.25">
      <c r="G268" s="30"/>
      <c r="AA268" s="2"/>
    </row>
    <row r="269" spans="7:27" x14ac:dyDescent="0.25">
      <c r="G269" s="30"/>
      <c r="AA269" s="2"/>
    </row>
    <row r="270" spans="7:27" x14ac:dyDescent="0.25">
      <c r="G270" s="30"/>
      <c r="AA270" s="2"/>
    </row>
    <row r="271" spans="7:27" x14ac:dyDescent="0.25">
      <c r="G271" s="30"/>
      <c r="AA271" s="2"/>
    </row>
    <row r="272" spans="7:27" x14ac:dyDescent="0.25">
      <c r="G272" s="30"/>
      <c r="AA272" s="2"/>
    </row>
    <row r="273" spans="7:27" x14ac:dyDescent="0.25">
      <c r="G273" s="30"/>
      <c r="AA273" s="2"/>
    </row>
  </sheetData>
  <mergeCells count="12">
    <mergeCell ref="B11:R49"/>
    <mergeCell ref="A54:A92"/>
    <mergeCell ref="B54:R92"/>
    <mergeCell ref="B97:R135"/>
    <mergeCell ref="A99:A131"/>
    <mergeCell ref="E1:O3"/>
    <mergeCell ref="E4:E5"/>
    <mergeCell ref="F4:O5"/>
    <mergeCell ref="E6:E7"/>
    <mergeCell ref="F6:O7"/>
    <mergeCell ref="E8:E9"/>
    <mergeCell ref="F8:O9"/>
  </mergeCells>
  <pageMargins left="0.19685039370078741" right="0.19685039370078741" top="0.19685039370078741" bottom="0.19685039370078741" header="0" footer="0.35433070866141736"/>
  <pageSetup paperSize="9" scale="39" fitToHeight="3" orientation="portrait" horizontalDpi="1200" verticalDpi="1200" r:id="rId1"/>
  <headerFooter alignWithMargins="0">
    <oddFooter xml:space="preserve">&amp;C&amp;18Tooshop | M. Santos | &amp;D&amp;R&amp;18Página &amp;P de &amp;N         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273"/>
  <sheetViews>
    <sheetView view="pageBreakPreview" zoomScale="37" zoomScaleNormal="70" zoomScaleSheetLayoutView="37" workbookViewId="0">
      <selection activeCell="T57" sqref="T57"/>
    </sheetView>
  </sheetViews>
  <sheetFormatPr defaultRowHeight="15" x14ac:dyDescent="0.25"/>
  <cols>
    <col min="1" max="1" width="4.7109375" style="2" customWidth="1"/>
    <col min="2" max="2" width="9.140625" style="2"/>
    <col min="3" max="4" width="15.7109375" style="2" customWidth="1"/>
    <col min="5" max="5" width="30.7109375" style="2" customWidth="1"/>
    <col min="6" max="6" width="18.7109375" style="2" customWidth="1"/>
    <col min="7" max="13" width="9.140625" style="2"/>
    <col min="14" max="14" width="25.7109375" style="2" customWidth="1"/>
    <col min="15" max="15" width="30.7109375" style="2" customWidth="1"/>
    <col min="16" max="17" width="15.7109375" style="2" customWidth="1"/>
    <col min="18" max="18" width="9.140625" style="2" customWidth="1"/>
    <col min="19" max="19" width="4.5703125" style="2" customWidth="1"/>
    <col min="20" max="20" width="50.140625" style="2" customWidth="1"/>
    <col min="21" max="21" width="6.85546875" style="2" customWidth="1"/>
    <col min="22" max="22" width="6.5703125" style="2" customWidth="1"/>
    <col min="23" max="23" width="6.7109375" style="2" customWidth="1"/>
    <col min="24" max="24" width="7.28515625" style="2" customWidth="1"/>
    <col min="25" max="25" width="9.140625" style="2"/>
    <col min="26" max="26" width="39" style="2" bestFit="1" customWidth="1"/>
    <col min="27" max="27" width="13.5703125" style="30" bestFit="1" customWidth="1"/>
    <col min="28" max="28" width="10.42578125" style="2" bestFit="1" customWidth="1"/>
    <col min="29" max="29" width="19.42578125" style="2" bestFit="1" customWidth="1"/>
    <col min="30" max="30" width="5.42578125" style="2" bestFit="1" customWidth="1"/>
    <col min="31" max="16384" width="9.140625" style="2"/>
  </cols>
  <sheetData>
    <row r="1" spans="1:30" ht="15" customHeight="1" x14ac:dyDescent="0.25">
      <c r="A1" s="13"/>
      <c r="B1" s="3"/>
      <c r="C1" s="3"/>
      <c r="D1" s="3"/>
      <c r="E1" s="116" t="s">
        <v>3</v>
      </c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3"/>
      <c r="Q1" s="3"/>
      <c r="R1" s="3"/>
      <c r="S1" s="4"/>
      <c r="T1" s="10"/>
      <c r="Z1" s="49" t="s">
        <v>4</v>
      </c>
      <c r="AA1" s="88"/>
      <c r="AB1" s="102"/>
      <c r="AC1" s="103"/>
      <c r="AD1" s="104"/>
    </row>
    <row r="2" spans="1:30" ht="15" customHeight="1" x14ac:dyDescent="0.25">
      <c r="A2" s="14"/>
      <c r="B2" s="56"/>
      <c r="C2" s="56"/>
      <c r="D2" s="56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58"/>
      <c r="Q2" s="56"/>
      <c r="R2" s="56"/>
      <c r="S2" s="6"/>
      <c r="Z2" s="50" t="s">
        <v>477</v>
      </c>
      <c r="AA2" s="89"/>
      <c r="AB2" s="95"/>
      <c r="AC2" s="95"/>
      <c r="AD2" s="105"/>
    </row>
    <row r="3" spans="1:30" ht="15" customHeight="1" x14ac:dyDescent="0.25">
      <c r="A3" s="14"/>
      <c r="B3" s="56"/>
      <c r="C3" s="56"/>
      <c r="D3" s="56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58"/>
      <c r="Q3" s="56"/>
      <c r="R3" s="56"/>
      <c r="S3" s="6"/>
      <c r="Z3" s="50" t="s">
        <v>476</v>
      </c>
      <c r="AA3" s="89">
        <v>1</v>
      </c>
      <c r="AB3" s="95"/>
      <c r="AC3" s="95"/>
      <c r="AD3" s="105"/>
    </row>
    <row r="4" spans="1:30" ht="15" customHeight="1" x14ac:dyDescent="0.25">
      <c r="A4" s="14"/>
      <c r="B4" s="56"/>
      <c r="C4" s="56"/>
      <c r="D4" s="56"/>
      <c r="E4" s="129" t="str">
        <f>"Projeto: "</f>
        <v xml:space="preserve">Projeto: </v>
      </c>
      <c r="F4" s="131" t="str">
        <f>T7</f>
        <v>VW378 - Touran</v>
      </c>
      <c r="G4" s="131"/>
      <c r="H4" s="131"/>
      <c r="I4" s="131"/>
      <c r="J4" s="131"/>
      <c r="K4" s="131"/>
      <c r="L4" s="131"/>
      <c r="M4" s="131"/>
      <c r="N4" s="131"/>
      <c r="O4" s="132"/>
      <c r="P4" s="58"/>
      <c r="Q4" s="56"/>
      <c r="R4" s="56"/>
      <c r="S4" s="6"/>
      <c r="Z4" s="50" t="s">
        <v>218</v>
      </c>
      <c r="AA4" s="89"/>
      <c r="AB4" s="95"/>
      <c r="AC4" s="95"/>
      <c r="AD4" s="105"/>
    </row>
    <row r="5" spans="1:30" ht="15" customHeight="1" x14ac:dyDescent="0.25">
      <c r="A5" s="80"/>
      <c r="B5" s="54"/>
      <c r="C5" s="55"/>
      <c r="D5" s="55"/>
      <c r="E5" s="130"/>
      <c r="F5" s="133"/>
      <c r="G5" s="133"/>
      <c r="H5" s="133"/>
      <c r="I5" s="133"/>
      <c r="J5" s="133"/>
      <c r="K5" s="133"/>
      <c r="L5" s="133"/>
      <c r="M5" s="133"/>
      <c r="N5" s="133"/>
      <c r="O5" s="134"/>
      <c r="P5" s="58"/>
      <c r="Q5" s="55"/>
      <c r="R5" s="55"/>
      <c r="S5" s="6"/>
      <c r="Z5" s="50" t="s">
        <v>475</v>
      </c>
      <c r="AA5" s="89"/>
      <c r="AB5" s="95"/>
      <c r="AC5" s="95"/>
      <c r="AD5" s="105"/>
    </row>
    <row r="6" spans="1:30" ht="15" customHeight="1" x14ac:dyDescent="0.25">
      <c r="A6" s="80"/>
      <c r="B6" s="54"/>
      <c r="C6" s="55"/>
      <c r="D6" s="55"/>
      <c r="E6" s="135" t="str">
        <f>"Peça: "</f>
        <v xml:space="preserve">Peça: </v>
      </c>
      <c r="F6" s="136" t="str">
        <f>T8</f>
        <v>5TA.809.209</v>
      </c>
      <c r="G6" s="136"/>
      <c r="H6" s="136"/>
      <c r="I6" s="136"/>
      <c r="J6" s="136"/>
      <c r="K6" s="136"/>
      <c r="L6" s="136"/>
      <c r="M6" s="136"/>
      <c r="N6" s="136"/>
      <c r="O6" s="137"/>
      <c r="P6" s="58"/>
      <c r="Q6" s="55"/>
      <c r="R6" s="55"/>
      <c r="S6" s="6"/>
      <c r="T6" s="17" t="s">
        <v>363</v>
      </c>
      <c r="Z6" s="50" t="s">
        <v>249</v>
      </c>
      <c r="AA6" s="89"/>
      <c r="AB6" s="95"/>
      <c r="AC6" s="95"/>
      <c r="AD6" s="105"/>
    </row>
    <row r="7" spans="1:30" ht="15" customHeight="1" x14ac:dyDescent="0.25">
      <c r="A7" s="80"/>
      <c r="B7" s="54"/>
      <c r="C7" s="55"/>
      <c r="D7" s="55"/>
      <c r="E7" s="130"/>
      <c r="F7" s="133"/>
      <c r="G7" s="133"/>
      <c r="H7" s="133"/>
      <c r="I7" s="133"/>
      <c r="J7" s="133"/>
      <c r="K7" s="133"/>
      <c r="L7" s="133"/>
      <c r="M7" s="133"/>
      <c r="N7" s="133"/>
      <c r="O7" s="134"/>
      <c r="P7" s="55"/>
      <c r="Q7" s="55"/>
      <c r="R7" s="55"/>
      <c r="S7" s="6"/>
      <c r="T7" s="53" t="s">
        <v>82</v>
      </c>
      <c r="Z7" s="50" t="s">
        <v>2</v>
      </c>
      <c r="AA7" s="89">
        <f>SUM(AA2:AA6)</f>
        <v>1</v>
      </c>
      <c r="AB7" s="95">
        <f>SUM(AB2:AB6)</f>
        <v>0</v>
      </c>
      <c r="AC7" s="95"/>
      <c r="AD7" s="105"/>
    </row>
    <row r="8" spans="1:30" ht="15" customHeight="1" x14ac:dyDescent="0.25">
      <c r="A8" s="15"/>
      <c r="E8" s="135" t="str">
        <f>"Ano: "</f>
        <v xml:space="preserve">Ano: </v>
      </c>
      <c r="F8" s="136">
        <f>T9</f>
        <v>2017</v>
      </c>
      <c r="G8" s="136"/>
      <c r="H8" s="136"/>
      <c r="I8" s="136"/>
      <c r="J8" s="136"/>
      <c r="K8" s="136"/>
      <c r="L8" s="136"/>
      <c r="M8" s="136"/>
      <c r="N8" s="136"/>
      <c r="O8" s="137"/>
      <c r="S8" s="6"/>
      <c r="T8" s="2" t="s">
        <v>108</v>
      </c>
      <c r="Z8" s="48" t="s">
        <v>5</v>
      </c>
      <c r="AA8" s="90"/>
      <c r="AB8" s="106"/>
      <c r="AC8" s="106"/>
      <c r="AD8" s="107"/>
    </row>
    <row r="9" spans="1:30" ht="15" customHeight="1" x14ac:dyDescent="0.25">
      <c r="A9" s="81"/>
      <c r="B9" s="57"/>
      <c r="C9" s="57"/>
      <c r="D9" s="57"/>
      <c r="E9" s="130"/>
      <c r="F9" s="133"/>
      <c r="G9" s="133"/>
      <c r="H9" s="133"/>
      <c r="I9" s="133"/>
      <c r="J9" s="133"/>
      <c r="K9" s="133"/>
      <c r="L9" s="133"/>
      <c r="M9" s="133"/>
      <c r="N9" s="133"/>
      <c r="O9" s="134"/>
      <c r="P9" s="57"/>
      <c r="Q9" s="57"/>
      <c r="R9" s="57"/>
      <c r="S9" s="6"/>
      <c r="T9" s="2">
        <v>2017</v>
      </c>
      <c r="Z9" s="44" t="s">
        <v>8</v>
      </c>
      <c r="AA9" s="91"/>
      <c r="AB9" s="108"/>
      <c r="AC9" s="108"/>
      <c r="AD9" s="109"/>
    </row>
    <row r="10" spans="1:30" x14ac:dyDescent="0.25">
      <c r="A10" s="81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6"/>
      <c r="Z10" s="44" t="s">
        <v>7</v>
      </c>
      <c r="AA10" s="91"/>
      <c r="AB10" s="108"/>
      <c r="AC10" s="108"/>
      <c r="AD10" s="109"/>
    </row>
    <row r="11" spans="1:30" ht="15" customHeight="1" x14ac:dyDescent="0.25">
      <c r="A11" s="81"/>
      <c r="B11" s="118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6"/>
      <c r="Z11" s="44" t="s">
        <v>41</v>
      </c>
      <c r="AA11" s="91"/>
      <c r="AB11" s="108"/>
      <c r="AC11" s="108"/>
      <c r="AD11" s="109"/>
    </row>
    <row r="12" spans="1:30" ht="15" customHeight="1" x14ac:dyDescent="0.25">
      <c r="A12" s="81"/>
      <c r="B12" s="118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6"/>
      <c r="Z12" s="44" t="s">
        <v>40</v>
      </c>
      <c r="AA12" s="91"/>
      <c r="AB12" s="108"/>
      <c r="AC12" s="108"/>
      <c r="AD12" s="109"/>
    </row>
    <row r="13" spans="1:30" ht="15" customHeight="1" x14ac:dyDescent="0.25">
      <c r="A13" s="81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6"/>
      <c r="T13" s="12"/>
      <c r="Z13" s="44" t="s">
        <v>1</v>
      </c>
      <c r="AA13" s="91"/>
      <c r="AB13" s="108"/>
      <c r="AC13" s="108"/>
      <c r="AD13" s="109"/>
    </row>
    <row r="14" spans="1:30" ht="15" customHeight="1" x14ac:dyDescent="0.25">
      <c r="A14" s="81"/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6"/>
      <c r="T14" s="11"/>
      <c r="Z14" s="96" t="s">
        <v>356</v>
      </c>
      <c r="AA14" s="94"/>
      <c r="AB14" s="110"/>
      <c r="AC14" s="110"/>
      <c r="AD14" s="111"/>
    </row>
    <row r="15" spans="1:30" ht="15" customHeight="1" x14ac:dyDescent="0.25">
      <c r="A15" s="81"/>
      <c r="B15" s="118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6"/>
      <c r="Z15" s="45" t="s">
        <v>353</v>
      </c>
      <c r="AA15" s="98"/>
      <c r="AB15" s="99"/>
      <c r="AC15" s="100"/>
      <c r="AD15" s="101"/>
    </row>
    <row r="16" spans="1:30" ht="15" customHeight="1" x14ac:dyDescent="0.25">
      <c r="A16" s="81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6"/>
      <c r="Z16" s="45" t="s">
        <v>185</v>
      </c>
      <c r="AA16" s="98"/>
      <c r="AB16" s="99"/>
      <c r="AC16" s="100"/>
      <c r="AD16" s="101"/>
    </row>
    <row r="17" spans="1:30" x14ac:dyDescent="0.25">
      <c r="A17" s="81"/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6"/>
      <c r="Z17" s="45" t="s">
        <v>210</v>
      </c>
      <c r="AA17" s="98"/>
      <c r="AB17" s="99"/>
      <c r="AC17" s="100"/>
      <c r="AD17" s="101"/>
    </row>
    <row r="18" spans="1:30" x14ac:dyDescent="0.25">
      <c r="A18" s="81"/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6"/>
      <c r="Z18" s="45" t="s">
        <v>354</v>
      </c>
      <c r="AA18" s="98"/>
      <c r="AB18" s="99"/>
      <c r="AC18" s="100"/>
      <c r="AD18" s="101"/>
    </row>
    <row r="19" spans="1:30" x14ac:dyDescent="0.25">
      <c r="A19" s="81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6"/>
      <c r="Z19" s="45" t="s">
        <v>46</v>
      </c>
      <c r="AA19" s="98"/>
      <c r="AB19" s="99"/>
      <c r="AC19" s="100"/>
      <c r="AD19" s="101">
        <v>1</v>
      </c>
    </row>
    <row r="20" spans="1:30" x14ac:dyDescent="0.25">
      <c r="A20" s="81"/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6"/>
      <c r="Z20" s="45" t="s">
        <v>204</v>
      </c>
      <c r="AA20" s="98"/>
      <c r="AB20" s="99"/>
      <c r="AC20" s="100"/>
      <c r="AD20" s="101"/>
    </row>
    <row r="21" spans="1:30" x14ac:dyDescent="0.25">
      <c r="A21" s="81"/>
      <c r="B21" s="118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6"/>
      <c r="Z21" s="45" t="s">
        <v>143</v>
      </c>
      <c r="AA21" s="98"/>
      <c r="AB21" s="99"/>
      <c r="AC21" s="100"/>
      <c r="AD21" s="101"/>
    </row>
    <row r="22" spans="1:30" x14ac:dyDescent="0.25">
      <c r="A22" s="81"/>
      <c r="B22" s="118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6"/>
      <c r="Z22" s="45" t="s">
        <v>147</v>
      </c>
      <c r="AA22" s="98"/>
      <c r="AB22" s="99"/>
      <c r="AC22" s="100"/>
      <c r="AD22" s="101"/>
    </row>
    <row r="23" spans="1:30" x14ac:dyDescent="0.25">
      <c r="A23" s="81"/>
      <c r="B23" s="118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6"/>
      <c r="Z23" s="45" t="s">
        <v>57</v>
      </c>
      <c r="AA23" s="98"/>
      <c r="AB23" s="99"/>
      <c r="AC23" s="100"/>
      <c r="AD23" s="101"/>
    </row>
    <row r="24" spans="1:30" x14ac:dyDescent="0.25">
      <c r="A24" s="81"/>
      <c r="B24" s="11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6"/>
      <c r="Z24" s="46" t="s">
        <v>52</v>
      </c>
      <c r="AA24" s="98"/>
      <c r="AB24" s="99"/>
      <c r="AC24" s="100"/>
      <c r="AD24" s="101"/>
    </row>
    <row r="25" spans="1:30" x14ac:dyDescent="0.25">
      <c r="A25" s="81"/>
      <c r="B25" s="118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6"/>
      <c r="Z25" s="46"/>
      <c r="AA25" s="98"/>
      <c r="AB25" s="99"/>
      <c r="AC25" s="100"/>
      <c r="AD25" s="101"/>
    </row>
    <row r="26" spans="1:30" x14ac:dyDescent="0.25">
      <c r="A26" s="81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6"/>
      <c r="Z26" s="46"/>
      <c r="AA26" s="92"/>
      <c r="AB26" s="100"/>
      <c r="AC26" s="100"/>
      <c r="AD26" s="101"/>
    </row>
    <row r="27" spans="1:30" x14ac:dyDescent="0.25">
      <c r="A27" s="81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6"/>
      <c r="Z27" s="46"/>
      <c r="AA27" s="92"/>
      <c r="AB27" s="100"/>
      <c r="AC27" s="100"/>
      <c r="AD27" s="101"/>
    </row>
    <row r="28" spans="1:30" x14ac:dyDescent="0.25">
      <c r="A28" s="81"/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6"/>
      <c r="Z28" s="97"/>
      <c r="AA28" s="92" t="s">
        <v>8</v>
      </c>
      <c r="AB28" s="100" t="s">
        <v>7</v>
      </c>
      <c r="AC28" s="100" t="s">
        <v>41</v>
      </c>
      <c r="AD28" s="101" t="s">
        <v>479</v>
      </c>
    </row>
    <row r="29" spans="1:30" x14ac:dyDescent="0.25">
      <c r="A29" s="81"/>
      <c r="B29" s="118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6"/>
      <c r="Z29" s="46"/>
      <c r="AA29" s="92"/>
      <c r="AB29" s="100"/>
      <c r="AC29" s="100"/>
      <c r="AD29" s="101"/>
    </row>
    <row r="30" spans="1:30" x14ac:dyDescent="0.25">
      <c r="A30" s="81"/>
      <c r="B30" s="118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6"/>
      <c r="Z30" s="46"/>
      <c r="AA30" s="92"/>
      <c r="AB30" s="100"/>
      <c r="AC30" s="100"/>
      <c r="AD30" s="101"/>
    </row>
    <row r="31" spans="1:30" x14ac:dyDescent="0.25">
      <c r="A31" s="81"/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6"/>
      <c r="Z31" s="46"/>
      <c r="AA31" s="92"/>
      <c r="AB31" s="100"/>
      <c r="AC31" s="100"/>
      <c r="AD31" s="101"/>
    </row>
    <row r="32" spans="1:30" x14ac:dyDescent="0.25">
      <c r="A32" s="81"/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6"/>
      <c r="Z32" s="46"/>
      <c r="AA32" s="92"/>
      <c r="AB32" s="100"/>
      <c r="AC32" s="100"/>
      <c r="AD32" s="101"/>
    </row>
    <row r="33" spans="1:30" x14ac:dyDescent="0.25">
      <c r="A33" s="81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6"/>
      <c r="Z33" s="46"/>
      <c r="AA33" s="92"/>
      <c r="AB33" s="100"/>
      <c r="AC33" s="100"/>
      <c r="AD33" s="101"/>
    </row>
    <row r="34" spans="1:30" x14ac:dyDescent="0.25">
      <c r="A34" s="81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6"/>
      <c r="Z34" s="97"/>
      <c r="AA34" s="92"/>
      <c r="AB34" s="100"/>
      <c r="AC34" s="100"/>
      <c r="AD34" s="101"/>
    </row>
    <row r="35" spans="1:30" x14ac:dyDescent="0.25">
      <c r="A35" s="81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6"/>
      <c r="Z35" s="46"/>
      <c r="AA35" s="92"/>
      <c r="AB35" s="100"/>
      <c r="AC35" s="100"/>
      <c r="AD35" s="101"/>
    </row>
    <row r="36" spans="1:30" x14ac:dyDescent="0.25">
      <c r="A36" s="81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6"/>
      <c r="Z36" s="46"/>
      <c r="AA36" s="92"/>
      <c r="AB36" s="100"/>
      <c r="AC36" s="100"/>
      <c r="AD36" s="101"/>
    </row>
    <row r="37" spans="1:30" x14ac:dyDescent="0.25">
      <c r="A37" s="81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6"/>
      <c r="Z37" s="46"/>
      <c r="AA37" s="92"/>
      <c r="AB37" s="100"/>
      <c r="AC37" s="100"/>
      <c r="AD37" s="101"/>
    </row>
    <row r="38" spans="1:30" x14ac:dyDescent="0.25">
      <c r="A38" s="81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6"/>
      <c r="Z38" s="46"/>
      <c r="AA38" s="92"/>
      <c r="AB38" s="100"/>
      <c r="AC38" s="100"/>
      <c r="AD38" s="101"/>
    </row>
    <row r="39" spans="1:30" ht="15.75" thickBot="1" x14ac:dyDescent="0.3">
      <c r="A39" s="81"/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6"/>
      <c r="Z39" s="47"/>
      <c r="AA39" s="93"/>
      <c r="AB39" s="112"/>
      <c r="AC39" s="112"/>
      <c r="AD39" s="113"/>
    </row>
    <row r="40" spans="1:30" x14ac:dyDescent="0.25">
      <c r="A40" s="81"/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6"/>
    </row>
    <row r="41" spans="1:30" x14ac:dyDescent="0.25">
      <c r="A41" s="81"/>
      <c r="B41" s="118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6"/>
    </row>
    <row r="42" spans="1:30" x14ac:dyDescent="0.25">
      <c r="A42" s="5"/>
      <c r="B42" s="118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6"/>
    </row>
    <row r="43" spans="1:30" x14ac:dyDescent="0.25">
      <c r="A43" s="5"/>
      <c r="B43" s="118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6"/>
    </row>
    <row r="44" spans="1:30" x14ac:dyDescent="0.25">
      <c r="A44" s="5"/>
      <c r="B44" s="118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6"/>
    </row>
    <row r="45" spans="1:30" x14ac:dyDescent="0.25">
      <c r="A45" s="5"/>
      <c r="B45" s="118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8"/>
      <c r="Q45" s="118"/>
      <c r="R45" s="118"/>
      <c r="S45" s="6"/>
    </row>
    <row r="46" spans="1:30" x14ac:dyDescent="0.25">
      <c r="A46" s="15"/>
      <c r="B46" s="118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6"/>
    </row>
    <row r="47" spans="1:30" ht="15" customHeight="1" x14ac:dyDescent="0.25">
      <c r="A47" s="14"/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6"/>
    </row>
    <row r="48" spans="1:30" ht="15" customHeight="1" x14ac:dyDescent="0.25">
      <c r="A48" s="14"/>
      <c r="B48" s="118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6"/>
    </row>
    <row r="49" spans="1:19" ht="15" customHeight="1" x14ac:dyDescent="0.25">
      <c r="A49" s="14"/>
      <c r="B49" s="118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6"/>
    </row>
    <row r="50" spans="1:19" ht="15" customHeight="1" x14ac:dyDescent="0.25">
      <c r="A50" s="80"/>
      <c r="B50" s="54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6"/>
    </row>
    <row r="51" spans="1:19" ht="15" customHeight="1" x14ac:dyDescent="0.25">
      <c r="A51" s="80"/>
      <c r="B51" s="59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"/>
    </row>
    <row r="52" spans="1:19" ht="15" customHeight="1" x14ac:dyDescent="0.25">
      <c r="A52" s="80"/>
      <c r="B52" s="54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6"/>
    </row>
    <row r="53" spans="1:19" x14ac:dyDescent="0.25">
      <c r="A53" s="15"/>
      <c r="S53" s="6"/>
    </row>
    <row r="54" spans="1:19" ht="15" customHeight="1" x14ac:dyDescent="0.25">
      <c r="A54" s="127" t="s">
        <v>163</v>
      </c>
      <c r="B54" s="118"/>
      <c r="C54" s="118"/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6"/>
    </row>
    <row r="55" spans="1:19" x14ac:dyDescent="0.25">
      <c r="A55" s="127"/>
      <c r="B55" s="118"/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6"/>
    </row>
    <row r="56" spans="1:19" x14ac:dyDescent="0.25">
      <c r="A56" s="127"/>
      <c r="B56" s="118"/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6"/>
    </row>
    <row r="57" spans="1:19" x14ac:dyDescent="0.25">
      <c r="A57" s="127"/>
      <c r="B57" s="118"/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6"/>
    </row>
    <row r="58" spans="1:19" x14ac:dyDescent="0.25">
      <c r="A58" s="127"/>
      <c r="B58" s="118"/>
      <c r="C58" s="118"/>
      <c r="D58" s="118"/>
      <c r="E58" s="118"/>
      <c r="F58" s="118"/>
      <c r="G58" s="118"/>
      <c r="H58" s="118"/>
      <c r="I58" s="118"/>
      <c r="J58" s="118"/>
      <c r="K58" s="118"/>
      <c r="L58" s="118"/>
      <c r="M58" s="118"/>
      <c r="N58" s="118"/>
      <c r="O58" s="118"/>
      <c r="P58" s="118"/>
      <c r="Q58" s="118"/>
      <c r="R58" s="118"/>
      <c r="S58" s="6"/>
    </row>
    <row r="59" spans="1:19" x14ac:dyDescent="0.25">
      <c r="A59" s="127"/>
      <c r="B59" s="118"/>
      <c r="C59" s="118"/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6"/>
    </row>
    <row r="60" spans="1:19" x14ac:dyDescent="0.25">
      <c r="A60" s="127"/>
      <c r="B60" s="118"/>
      <c r="C60" s="118"/>
      <c r="D60" s="118"/>
      <c r="E60" s="118"/>
      <c r="F60" s="118"/>
      <c r="G60" s="118"/>
      <c r="H60" s="118"/>
      <c r="I60" s="118"/>
      <c r="J60" s="118"/>
      <c r="K60" s="118"/>
      <c r="L60" s="118"/>
      <c r="M60" s="118"/>
      <c r="N60" s="118"/>
      <c r="O60" s="118"/>
      <c r="P60" s="118"/>
      <c r="Q60" s="118"/>
      <c r="R60" s="118"/>
      <c r="S60" s="6"/>
    </row>
    <row r="61" spans="1:19" x14ac:dyDescent="0.25">
      <c r="A61" s="127"/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6"/>
    </row>
    <row r="62" spans="1:19" x14ac:dyDescent="0.25">
      <c r="A62" s="127"/>
      <c r="B62" s="118"/>
      <c r="C62" s="118"/>
      <c r="D62" s="118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6"/>
    </row>
    <row r="63" spans="1:19" x14ac:dyDescent="0.25">
      <c r="A63" s="127"/>
      <c r="B63" s="118"/>
      <c r="C63" s="118"/>
      <c r="D63" s="118"/>
      <c r="E63" s="118"/>
      <c r="F63" s="118"/>
      <c r="G63" s="118"/>
      <c r="H63" s="118"/>
      <c r="I63" s="118"/>
      <c r="J63" s="118"/>
      <c r="K63" s="118"/>
      <c r="L63" s="118"/>
      <c r="M63" s="118"/>
      <c r="N63" s="118"/>
      <c r="O63" s="118"/>
      <c r="P63" s="118"/>
      <c r="Q63" s="118"/>
      <c r="R63" s="118"/>
      <c r="S63" s="6"/>
    </row>
    <row r="64" spans="1:19" x14ac:dyDescent="0.25">
      <c r="A64" s="127"/>
      <c r="B64" s="118"/>
      <c r="C64" s="118"/>
      <c r="D64" s="118"/>
      <c r="E64" s="118"/>
      <c r="F64" s="118"/>
      <c r="G64" s="118"/>
      <c r="H64" s="118"/>
      <c r="I64" s="118"/>
      <c r="J64" s="118"/>
      <c r="K64" s="118"/>
      <c r="L64" s="118"/>
      <c r="M64" s="118"/>
      <c r="N64" s="118"/>
      <c r="O64" s="118"/>
      <c r="P64" s="118"/>
      <c r="Q64" s="118"/>
      <c r="R64" s="118"/>
      <c r="S64" s="6"/>
    </row>
    <row r="65" spans="1:19" x14ac:dyDescent="0.25">
      <c r="A65" s="127"/>
      <c r="B65" s="118"/>
      <c r="C65" s="118"/>
      <c r="D65" s="118"/>
      <c r="E65" s="118"/>
      <c r="F65" s="118"/>
      <c r="G65" s="118"/>
      <c r="H65" s="118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6"/>
    </row>
    <row r="66" spans="1:19" x14ac:dyDescent="0.25">
      <c r="A66" s="127"/>
      <c r="B66" s="118"/>
      <c r="C66" s="118"/>
      <c r="D66" s="118"/>
      <c r="E66" s="118"/>
      <c r="F66" s="118"/>
      <c r="G66" s="118"/>
      <c r="H66" s="118"/>
      <c r="I66" s="118"/>
      <c r="J66" s="118"/>
      <c r="K66" s="118"/>
      <c r="L66" s="118"/>
      <c r="M66" s="118"/>
      <c r="N66" s="118"/>
      <c r="O66" s="118"/>
      <c r="P66" s="118"/>
      <c r="Q66" s="118"/>
      <c r="R66" s="118"/>
      <c r="S66" s="6"/>
    </row>
    <row r="67" spans="1:19" x14ac:dyDescent="0.25">
      <c r="A67" s="127"/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6"/>
    </row>
    <row r="68" spans="1:19" x14ac:dyDescent="0.25">
      <c r="A68" s="127"/>
      <c r="B68" s="118"/>
      <c r="C68" s="118"/>
      <c r="D68" s="118"/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118"/>
      <c r="Q68" s="118"/>
      <c r="R68" s="118"/>
      <c r="S68" s="6"/>
    </row>
    <row r="69" spans="1:19" x14ac:dyDescent="0.25">
      <c r="A69" s="127"/>
      <c r="B69" s="118"/>
      <c r="C69" s="118"/>
      <c r="D69" s="118"/>
      <c r="E69" s="118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118"/>
      <c r="Q69" s="118"/>
      <c r="R69" s="118"/>
      <c r="S69" s="6"/>
    </row>
    <row r="70" spans="1:19" x14ac:dyDescent="0.25">
      <c r="A70" s="127"/>
      <c r="B70" s="118"/>
      <c r="C70" s="118"/>
      <c r="D70" s="118"/>
      <c r="E70" s="118"/>
      <c r="F70" s="118"/>
      <c r="G70" s="118"/>
      <c r="H70" s="118"/>
      <c r="I70" s="118"/>
      <c r="J70" s="118"/>
      <c r="K70" s="118"/>
      <c r="L70" s="118"/>
      <c r="M70" s="118"/>
      <c r="N70" s="118"/>
      <c r="O70" s="118"/>
      <c r="P70" s="118"/>
      <c r="Q70" s="118"/>
      <c r="R70" s="118"/>
      <c r="S70" s="6"/>
    </row>
    <row r="71" spans="1:19" x14ac:dyDescent="0.25">
      <c r="A71" s="127"/>
      <c r="B71" s="118"/>
      <c r="C71" s="118"/>
      <c r="D71" s="118"/>
      <c r="E71" s="118"/>
      <c r="F71" s="118"/>
      <c r="G71" s="118"/>
      <c r="H71" s="118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6"/>
    </row>
    <row r="72" spans="1:19" x14ac:dyDescent="0.25">
      <c r="A72" s="127"/>
      <c r="B72" s="118"/>
      <c r="C72" s="118"/>
      <c r="D72" s="118"/>
      <c r="E72" s="118"/>
      <c r="F72" s="118"/>
      <c r="G72" s="118"/>
      <c r="H72" s="118"/>
      <c r="I72" s="118"/>
      <c r="J72" s="118"/>
      <c r="K72" s="118"/>
      <c r="L72" s="118"/>
      <c r="M72" s="118"/>
      <c r="N72" s="118"/>
      <c r="O72" s="118"/>
      <c r="P72" s="118"/>
      <c r="Q72" s="118"/>
      <c r="R72" s="118"/>
      <c r="S72" s="6"/>
    </row>
    <row r="73" spans="1:19" x14ac:dyDescent="0.25">
      <c r="A73" s="127"/>
      <c r="B73" s="118"/>
      <c r="C73" s="118"/>
      <c r="D73" s="118"/>
      <c r="E73" s="118"/>
      <c r="F73" s="118"/>
      <c r="G73" s="118"/>
      <c r="H73" s="118"/>
      <c r="I73" s="118"/>
      <c r="J73" s="118"/>
      <c r="K73" s="118"/>
      <c r="L73" s="118"/>
      <c r="M73" s="118"/>
      <c r="N73" s="118"/>
      <c r="O73" s="118"/>
      <c r="P73" s="118"/>
      <c r="Q73" s="118"/>
      <c r="R73" s="118"/>
      <c r="S73" s="6"/>
    </row>
    <row r="74" spans="1:19" x14ac:dyDescent="0.25">
      <c r="A74" s="127"/>
      <c r="B74" s="118"/>
      <c r="C74" s="118"/>
      <c r="D74" s="118"/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6"/>
    </row>
    <row r="75" spans="1:19" x14ac:dyDescent="0.25">
      <c r="A75" s="127"/>
      <c r="B75" s="118"/>
      <c r="C75" s="118"/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6"/>
    </row>
    <row r="76" spans="1:19" x14ac:dyDescent="0.25">
      <c r="A76" s="127"/>
      <c r="B76" s="118"/>
      <c r="C76" s="118"/>
      <c r="D76" s="118"/>
      <c r="E76" s="118"/>
      <c r="F76" s="118"/>
      <c r="G76" s="118"/>
      <c r="H76" s="118"/>
      <c r="I76" s="118"/>
      <c r="J76" s="118"/>
      <c r="K76" s="118"/>
      <c r="L76" s="118"/>
      <c r="M76" s="118"/>
      <c r="N76" s="118"/>
      <c r="O76" s="118"/>
      <c r="P76" s="118"/>
      <c r="Q76" s="118"/>
      <c r="R76" s="118"/>
      <c r="S76" s="6"/>
    </row>
    <row r="77" spans="1:19" x14ac:dyDescent="0.25">
      <c r="A77" s="127"/>
      <c r="B77" s="118"/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6"/>
    </row>
    <row r="78" spans="1:19" x14ac:dyDescent="0.25">
      <c r="A78" s="127"/>
      <c r="B78" s="118"/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6"/>
    </row>
    <row r="79" spans="1:19" x14ac:dyDescent="0.25">
      <c r="A79" s="127"/>
      <c r="B79" s="118"/>
      <c r="C79" s="118"/>
      <c r="D79" s="118"/>
      <c r="E79" s="118"/>
      <c r="F79" s="118"/>
      <c r="G79" s="118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6"/>
    </row>
    <row r="80" spans="1:19" x14ac:dyDescent="0.25">
      <c r="A80" s="127"/>
      <c r="B80" s="118"/>
      <c r="C80" s="118"/>
      <c r="D80" s="118"/>
      <c r="E80" s="118"/>
      <c r="F80" s="118"/>
      <c r="G80" s="118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6"/>
    </row>
    <row r="81" spans="1:26" x14ac:dyDescent="0.25">
      <c r="A81" s="127"/>
      <c r="B81" s="118"/>
      <c r="C81" s="118"/>
      <c r="D81" s="118"/>
      <c r="E81" s="118"/>
      <c r="F81" s="118"/>
      <c r="G81" s="118"/>
      <c r="H81" s="118"/>
      <c r="I81" s="118"/>
      <c r="J81" s="118"/>
      <c r="K81" s="118"/>
      <c r="L81" s="118"/>
      <c r="M81" s="118"/>
      <c r="N81" s="118"/>
      <c r="O81" s="118"/>
      <c r="P81" s="118"/>
      <c r="Q81" s="118"/>
      <c r="R81" s="118"/>
      <c r="S81" s="6"/>
    </row>
    <row r="82" spans="1:26" x14ac:dyDescent="0.25">
      <c r="A82" s="127"/>
      <c r="B82" s="118"/>
      <c r="C82" s="118"/>
      <c r="D82" s="118"/>
      <c r="E82" s="118"/>
      <c r="F82" s="118"/>
      <c r="G82" s="118"/>
      <c r="H82" s="118"/>
      <c r="I82" s="118"/>
      <c r="J82" s="118"/>
      <c r="K82" s="118"/>
      <c r="L82" s="118"/>
      <c r="M82" s="118"/>
      <c r="N82" s="118"/>
      <c r="O82" s="118"/>
      <c r="P82" s="118"/>
      <c r="Q82" s="118"/>
      <c r="R82" s="118"/>
      <c r="S82" s="6"/>
    </row>
    <row r="83" spans="1:26" x14ac:dyDescent="0.25">
      <c r="A83" s="127"/>
      <c r="B83" s="118"/>
      <c r="C83" s="118"/>
      <c r="D83" s="118"/>
      <c r="E83" s="118"/>
      <c r="F83" s="118"/>
      <c r="G83" s="118"/>
      <c r="H83" s="118"/>
      <c r="I83" s="118"/>
      <c r="J83" s="118"/>
      <c r="K83" s="118"/>
      <c r="L83" s="118"/>
      <c r="M83" s="118"/>
      <c r="N83" s="118"/>
      <c r="O83" s="118"/>
      <c r="P83" s="118"/>
      <c r="Q83" s="118"/>
      <c r="R83" s="118"/>
      <c r="S83" s="6"/>
    </row>
    <row r="84" spans="1:26" x14ac:dyDescent="0.25">
      <c r="A84" s="127"/>
      <c r="B84" s="118"/>
      <c r="C84" s="118"/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118"/>
      <c r="Q84" s="118"/>
      <c r="R84" s="118"/>
      <c r="S84" s="6"/>
    </row>
    <row r="85" spans="1:26" x14ac:dyDescent="0.25">
      <c r="A85" s="127"/>
      <c r="B85" s="118"/>
      <c r="C85" s="118"/>
      <c r="D85" s="118"/>
      <c r="E85" s="118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118"/>
      <c r="Q85" s="118"/>
      <c r="R85" s="118"/>
      <c r="S85" s="6"/>
    </row>
    <row r="86" spans="1:26" x14ac:dyDescent="0.25">
      <c r="A86" s="127"/>
      <c r="B86" s="118"/>
      <c r="C86" s="118"/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8"/>
      <c r="Q86" s="118"/>
      <c r="R86" s="118"/>
      <c r="S86" s="6"/>
      <c r="Z86" s="30"/>
    </row>
    <row r="87" spans="1:26" x14ac:dyDescent="0.25">
      <c r="A87" s="127"/>
      <c r="B87" s="118"/>
      <c r="C87" s="118"/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118"/>
      <c r="Q87" s="118"/>
      <c r="R87" s="118"/>
      <c r="S87" s="6"/>
    </row>
    <row r="88" spans="1:26" x14ac:dyDescent="0.25">
      <c r="A88" s="127"/>
      <c r="B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6"/>
    </row>
    <row r="89" spans="1:26" x14ac:dyDescent="0.25">
      <c r="A89" s="127"/>
      <c r="B89" s="11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18"/>
      <c r="O89" s="118"/>
      <c r="P89" s="118"/>
      <c r="Q89" s="118"/>
      <c r="R89" s="118"/>
      <c r="S89" s="6"/>
    </row>
    <row r="90" spans="1:26" x14ac:dyDescent="0.25">
      <c r="A90" s="127"/>
      <c r="B90" s="118"/>
      <c r="C90" s="118"/>
      <c r="D90" s="118"/>
      <c r="E90" s="118"/>
      <c r="F90" s="118"/>
      <c r="G90" s="118"/>
      <c r="H90" s="118"/>
      <c r="I90" s="118"/>
      <c r="J90" s="118"/>
      <c r="K90" s="118"/>
      <c r="L90" s="118"/>
      <c r="M90" s="118"/>
      <c r="N90" s="118"/>
      <c r="O90" s="118"/>
      <c r="P90" s="118"/>
      <c r="Q90" s="118"/>
      <c r="R90" s="118"/>
      <c r="S90" s="76"/>
    </row>
    <row r="91" spans="1:26" x14ac:dyDescent="0.25">
      <c r="A91" s="127"/>
      <c r="B91" s="118"/>
      <c r="C91" s="118"/>
      <c r="D91" s="118"/>
      <c r="E91" s="118"/>
      <c r="F91" s="118"/>
      <c r="G91" s="118"/>
      <c r="H91" s="118"/>
      <c r="I91" s="118"/>
      <c r="J91" s="118"/>
      <c r="K91" s="118"/>
      <c r="L91" s="118"/>
      <c r="M91" s="118"/>
      <c r="N91" s="118"/>
      <c r="O91" s="118"/>
      <c r="P91" s="118"/>
      <c r="Q91" s="118"/>
      <c r="R91" s="118"/>
      <c r="S91" s="77"/>
    </row>
    <row r="92" spans="1:26" ht="15" customHeight="1" x14ac:dyDescent="0.25">
      <c r="A92" s="127"/>
      <c r="B92" s="118"/>
      <c r="C92" s="118"/>
      <c r="D92" s="118"/>
      <c r="E92" s="118"/>
      <c r="F92" s="118"/>
      <c r="G92" s="118"/>
      <c r="H92" s="118"/>
      <c r="I92" s="118"/>
      <c r="J92" s="118"/>
      <c r="K92" s="118"/>
      <c r="L92" s="118"/>
      <c r="M92" s="118"/>
      <c r="N92" s="118"/>
      <c r="O92" s="118"/>
      <c r="P92" s="118"/>
      <c r="Q92" s="118"/>
      <c r="R92" s="118"/>
      <c r="S92" s="77"/>
    </row>
    <row r="93" spans="1:26" ht="15" customHeight="1" x14ac:dyDescent="0.25">
      <c r="A93" s="14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77"/>
    </row>
    <row r="94" spans="1:26" ht="15" customHeight="1" x14ac:dyDescent="0.25">
      <c r="A94" s="14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77"/>
    </row>
    <row r="95" spans="1:26" ht="15" customHeight="1" x14ac:dyDescent="0.25">
      <c r="A95" s="80"/>
      <c r="B95" s="54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77"/>
    </row>
    <row r="96" spans="1:26" ht="15" customHeight="1" x14ac:dyDescent="0.25">
      <c r="A96" s="80"/>
      <c r="B96" s="54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77"/>
    </row>
    <row r="97" spans="1:19" ht="15" customHeight="1" x14ac:dyDescent="0.25">
      <c r="A97" s="80"/>
      <c r="B97" s="125"/>
      <c r="C97" s="125"/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77"/>
    </row>
    <row r="98" spans="1:19" ht="15" customHeight="1" x14ac:dyDescent="0.25">
      <c r="A98" s="82"/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77"/>
    </row>
    <row r="99" spans="1:19" ht="15" customHeight="1" x14ac:dyDescent="0.25">
      <c r="A99" s="128"/>
      <c r="B99" s="125"/>
      <c r="C99" s="125"/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6"/>
    </row>
    <row r="100" spans="1:19" ht="15" customHeight="1" x14ac:dyDescent="0.25">
      <c r="A100" s="128"/>
      <c r="B100" s="125"/>
      <c r="C100" s="125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6"/>
    </row>
    <row r="101" spans="1:19" ht="15" customHeight="1" x14ac:dyDescent="0.25">
      <c r="A101" s="128"/>
      <c r="B101" s="125"/>
      <c r="C101" s="125"/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6"/>
    </row>
    <row r="102" spans="1:19" ht="15" customHeight="1" x14ac:dyDescent="0.25">
      <c r="A102" s="128"/>
      <c r="B102" s="125"/>
      <c r="C102" s="125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6"/>
    </row>
    <row r="103" spans="1:19" ht="15" customHeight="1" x14ac:dyDescent="0.25">
      <c r="A103" s="128"/>
      <c r="B103" s="125"/>
      <c r="C103" s="125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6"/>
    </row>
    <row r="104" spans="1:19" ht="15" customHeight="1" x14ac:dyDescent="0.25">
      <c r="A104" s="128"/>
      <c r="B104" s="125"/>
      <c r="C104" s="125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6"/>
    </row>
    <row r="105" spans="1:19" ht="15" customHeight="1" x14ac:dyDescent="0.25">
      <c r="A105" s="128"/>
      <c r="B105" s="125"/>
      <c r="C105" s="125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6"/>
    </row>
    <row r="106" spans="1:19" ht="15" customHeight="1" x14ac:dyDescent="0.25">
      <c r="A106" s="128"/>
      <c r="B106" s="125"/>
      <c r="C106" s="125"/>
      <c r="D106" s="125"/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6"/>
    </row>
    <row r="107" spans="1:19" ht="15" customHeight="1" x14ac:dyDescent="0.25">
      <c r="A107" s="128"/>
      <c r="B107" s="125"/>
      <c r="C107" s="125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6"/>
    </row>
    <row r="108" spans="1:19" ht="15" customHeight="1" x14ac:dyDescent="0.25">
      <c r="A108" s="128"/>
      <c r="B108" s="125"/>
      <c r="C108" s="125"/>
      <c r="D108" s="125"/>
      <c r="E108" s="125"/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6"/>
    </row>
    <row r="109" spans="1:19" ht="15" customHeight="1" x14ac:dyDescent="0.25">
      <c r="A109" s="128"/>
      <c r="B109" s="125"/>
      <c r="C109" s="125"/>
      <c r="D109" s="125"/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6"/>
    </row>
    <row r="110" spans="1:19" ht="15" customHeight="1" x14ac:dyDescent="0.25">
      <c r="A110" s="128"/>
      <c r="B110" s="125"/>
      <c r="C110" s="125"/>
      <c r="D110" s="125"/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6"/>
    </row>
    <row r="111" spans="1:19" ht="15" customHeight="1" x14ac:dyDescent="0.25">
      <c r="A111" s="128"/>
      <c r="B111" s="125"/>
      <c r="C111" s="125"/>
      <c r="D111" s="125"/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6"/>
    </row>
    <row r="112" spans="1:19" ht="15" customHeight="1" x14ac:dyDescent="0.25">
      <c r="A112" s="128"/>
      <c r="B112" s="125"/>
      <c r="C112" s="125"/>
      <c r="D112" s="125"/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6"/>
    </row>
    <row r="113" spans="1:19" ht="15" customHeight="1" x14ac:dyDescent="0.25">
      <c r="A113" s="128"/>
      <c r="B113" s="125"/>
      <c r="C113" s="125"/>
      <c r="D113" s="125"/>
      <c r="E113" s="125"/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6"/>
    </row>
    <row r="114" spans="1:19" ht="15" customHeight="1" x14ac:dyDescent="0.25">
      <c r="A114" s="128"/>
      <c r="B114" s="125"/>
      <c r="C114" s="125"/>
      <c r="D114" s="125"/>
      <c r="E114" s="125"/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6"/>
    </row>
    <row r="115" spans="1:19" ht="15" customHeight="1" x14ac:dyDescent="0.25">
      <c r="A115" s="128"/>
      <c r="B115" s="125"/>
      <c r="C115" s="125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6"/>
    </row>
    <row r="116" spans="1:19" ht="15" customHeight="1" x14ac:dyDescent="0.25">
      <c r="A116" s="128"/>
      <c r="B116" s="125"/>
      <c r="C116" s="125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6"/>
    </row>
    <row r="117" spans="1:19" ht="15" customHeight="1" x14ac:dyDescent="0.25">
      <c r="A117" s="128"/>
      <c r="B117" s="125"/>
      <c r="C117" s="125"/>
      <c r="D117" s="125"/>
      <c r="E117" s="125"/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6"/>
    </row>
    <row r="118" spans="1:19" ht="15" customHeight="1" x14ac:dyDescent="0.25">
      <c r="A118" s="128"/>
      <c r="B118" s="125"/>
      <c r="C118" s="125"/>
      <c r="D118" s="125"/>
      <c r="E118" s="125"/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6"/>
    </row>
    <row r="119" spans="1:19" ht="15" customHeight="1" x14ac:dyDescent="0.25">
      <c r="A119" s="128"/>
      <c r="B119" s="125"/>
      <c r="C119" s="125"/>
      <c r="D119" s="125"/>
      <c r="E119" s="125"/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6"/>
    </row>
    <row r="120" spans="1:19" ht="15" customHeight="1" x14ac:dyDescent="0.25">
      <c r="A120" s="128"/>
      <c r="B120" s="125"/>
      <c r="C120" s="125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6"/>
    </row>
    <row r="121" spans="1:19" ht="15" customHeight="1" x14ac:dyDescent="0.25">
      <c r="A121" s="128"/>
      <c r="B121" s="125"/>
      <c r="C121" s="125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6"/>
    </row>
    <row r="122" spans="1:19" ht="15" customHeight="1" x14ac:dyDescent="0.25">
      <c r="A122" s="128"/>
      <c r="B122" s="125"/>
      <c r="C122" s="125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6"/>
    </row>
    <row r="123" spans="1:19" ht="15" customHeight="1" x14ac:dyDescent="0.25">
      <c r="A123" s="128"/>
      <c r="B123" s="125"/>
      <c r="C123" s="125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6"/>
    </row>
    <row r="124" spans="1:19" ht="15" customHeight="1" x14ac:dyDescent="0.25">
      <c r="A124" s="128"/>
      <c r="B124" s="125"/>
      <c r="C124" s="125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6"/>
    </row>
    <row r="125" spans="1:19" ht="15" customHeight="1" x14ac:dyDescent="0.25">
      <c r="A125" s="128"/>
      <c r="B125" s="125"/>
      <c r="C125" s="125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6"/>
    </row>
    <row r="126" spans="1:19" ht="15" customHeight="1" x14ac:dyDescent="0.25">
      <c r="A126" s="128"/>
      <c r="B126" s="125"/>
      <c r="C126" s="125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6"/>
    </row>
    <row r="127" spans="1:19" ht="15" customHeight="1" x14ac:dyDescent="0.25">
      <c r="A127" s="128"/>
      <c r="B127" s="125"/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6"/>
    </row>
    <row r="128" spans="1:19" ht="15" customHeight="1" x14ac:dyDescent="0.25">
      <c r="A128" s="128"/>
      <c r="B128" s="125"/>
      <c r="C128" s="125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6"/>
    </row>
    <row r="129" spans="1:27" ht="15" customHeight="1" x14ac:dyDescent="0.25">
      <c r="A129" s="128"/>
      <c r="B129" s="125"/>
      <c r="C129" s="125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6"/>
    </row>
    <row r="130" spans="1:27" ht="15" customHeight="1" x14ac:dyDescent="0.25">
      <c r="A130" s="128"/>
      <c r="B130" s="125"/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6"/>
    </row>
    <row r="131" spans="1:27" ht="15" customHeight="1" x14ac:dyDescent="0.25">
      <c r="A131" s="128"/>
      <c r="B131" s="125"/>
      <c r="C131" s="125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6"/>
    </row>
    <row r="132" spans="1:27" ht="15" customHeight="1" x14ac:dyDescent="0.25">
      <c r="A132" s="5"/>
      <c r="B132" s="125"/>
      <c r="C132" s="125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6"/>
    </row>
    <row r="133" spans="1:27" ht="15" customHeight="1" x14ac:dyDescent="0.25">
      <c r="A133" s="5"/>
      <c r="B133" s="125"/>
      <c r="C133" s="125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6"/>
    </row>
    <row r="134" spans="1:27" ht="15" customHeight="1" x14ac:dyDescent="0.25">
      <c r="A134" s="5"/>
      <c r="B134" s="125"/>
      <c r="C134" s="125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6"/>
    </row>
    <row r="135" spans="1:27" ht="15" customHeight="1" x14ac:dyDescent="0.25">
      <c r="A135" s="5"/>
      <c r="B135" s="125"/>
      <c r="C135" s="125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6"/>
    </row>
    <row r="136" spans="1:27" x14ac:dyDescent="0.25">
      <c r="A136" s="15"/>
      <c r="S136" s="6"/>
    </row>
    <row r="137" spans="1:27" ht="15" customHeight="1" x14ac:dyDescent="0.25">
      <c r="A137" s="14"/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6"/>
    </row>
    <row r="138" spans="1:27" ht="15" customHeight="1" x14ac:dyDescent="0.25">
      <c r="A138" s="14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6"/>
    </row>
    <row r="139" spans="1:27" ht="15" customHeight="1" x14ac:dyDescent="0.25">
      <c r="A139" s="14"/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6"/>
    </row>
    <row r="140" spans="1:27" ht="15" customHeight="1" x14ac:dyDescent="0.25">
      <c r="A140" s="80"/>
      <c r="B140" s="54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76"/>
    </row>
    <row r="141" spans="1:27" ht="15" customHeight="1" x14ac:dyDescent="0.25">
      <c r="A141" s="80"/>
      <c r="B141" s="54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76"/>
    </row>
    <row r="142" spans="1:27" ht="15" customHeight="1" x14ac:dyDescent="0.25">
      <c r="A142" s="83"/>
      <c r="B142" s="59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78"/>
    </row>
    <row r="143" spans="1:27" x14ac:dyDescent="0.25">
      <c r="G143" s="30"/>
      <c r="AA143" s="2"/>
    </row>
    <row r="144" spans="1:27" ht="15" customHeight="1" x14ac:dyDescent="0.25">
      <c r="G144" s="30"/>
      <c r="AA144" s="2"/>
    </row>
    <row r="145" spans="7:27" x14ac:dyDescent="0.25">
      <c r="G145" s="30"/>
      <c r="AA145" s="2"/>
    </row>
    <row r="146" spans="7:27" x14ac:dyDescent="0.25">
      <c r="G146" s="30"/>
      <c r="AA146" s="2"/>
    </row>
    <row r="147" spans="7:27" x14ac:dyDescent="0.25">
      <c r="G147" s="30"/>
      <c r="AA147" s="2"/>
    </row>
    <row r="148" spans="7:27" x14ac:dyDescent="0.25">
      <c r="G148" s="30"/>
      <c r="AA148" s="2"/>
    </row>
    <row r="149" spans="7:27" x14ac:dyDescent="0.25">
      <c r="G149" s="30"/>
      <c r="AA149" s="2"/>
    </row>
    <row r="150" spans="7:27" x14ac:dyDescent="0.25">
      <c r="G150" s="30"/>
      <c r="AA150" s="2"/>
    </row>
    <row r="151" spans="7:27" x14ac:dyDescent="0.25">
      <c r="G151" s="30"/>
      <c r="AA151" s="2"/>
    </row>
    <row r="152" spans="7:27" x14ac:dyDescent="0.25">
      <c r="G152" s="30"/>
      <c r="AA152" s="2"/>
    </row>
    <row r="153" spans="7:27" x14ac:dyDescent="0.25">
      <c r="G153" s="30"/>
      <c r="AA153" s="2"/>
    </row>
    <row r="154" spans="7:27" x14ac:dyDescent="0.25">
      <c r="G154" s="30"/>
      <c r="AA154" s="2"/>
    </row>
    <row r="155" spans="7:27" x14ac:dyDescent="0.25">
      <c r="G155" s="30"/>
      <c r="AA155" s="2"/>
    </row>
    <row r="156" spans="7:27" x14ac:dyDescent="0.25">
      <c r="G156" s="30"/>
      <c r="AA156" s="2"/>
    </row>
    <row r="157" spans="7:27" x14ac:dyDescent="0.25">
      <c r="G157" s="30"/>
      <c r="AA157" s="2"/>
    </row>
    <row r="158" spans="7:27" x14ac:dyDescent="0.25">
      <c r="G158" s="30"/>
      <c r="AA158" s="2"/>
    </row>
    <row r="159" spans="7:27" x14ac:dyDescent="0.25">
      <c r="G159" s="30"/>
      <c r="AA159" s="2"/>
    </row>
    <row r="160" spans="7:27" x14ac:dyDescent="0.25">
      <c r="G160" s="30"/>
      <c r="AA160" s="2"/>
    </row>
    <row r="161" spans="7:27" x14ac:dyDescent="0.25">
      <c r="G161" s="30"/>
      <c r="AA161" s="2"/>
    </row>
    <row r="162" spans="7:27" x14ac:dyDescent="0.25">
      <c r="G162" s="30"/>
      <c r="AA162" s="2"/>
    </row>
    <row r="163" spans="7:27" x14ac:dyDescent="0.25">
      <c r="G163" s="30"/>
      <c r="AA163" s="2"/>
    </row>
    <row r="164" spans="7:27" x14ac:dyDescent="0.25">
      <c r="G164" s="30"/>
      <c r="AA164" s="2"/>
    </row>
    <row r="165" spans="7:27" x14ac:dyDescent="0.25">
      <c r="G165" s="30"/>
      <c r="AA165" s="2"/>
    </row>
    <row r="166" spans="7:27" x14ac:dyDescent="0.25">
      <c r="G166" s="30"/>
      <c r="AA166" s="2"/>
    </row>
    <row r="167" spans="7:27" x14ac:dyDescent="0.25">
      <c r="G167" s="30"/>
      <c r="AA167" s="2"/>
    </row>
    <row r="168" spans="7:27" x14ac:dyDescent="0.25">
      <c r="G168" s="30"/>
      <c r="AA168" s="2"/>
    </row>
    <row r="169" spans="7:27" x14ac:dyDescent="0.25">
      <c r="G169" s="30"/>
      <c r="AA169" s="2"/>
    </row>
    <row r="170" spans="7:27" x14ac:dyDescent="0.25">
      <c r="G170" s="30"/>
      <c r="AA170" s="2"/>
    </row>
    <row r="171" spans="7:27" x14ac:dyDescent="0.25">
      <c r="G171" s="30"/>
      <c r="AA171" s="2"/>
    </row>
    <row r="172" spans="7:27" x14ac:dyDescent="0.25">
      <c r="G172" s="30"/>
      <c r="AA172" s="2"/>
    </row>
    <row r="173" spans="7:27" x14ac:dyDescent="0.25">
      <c r="G173" s="30"/>
      <c r="AA173" s="2"/>
    </row>
    <row r="174" spans="7:27" x14ac:dyDescent="0.25">
      <c r="G174" s="30"/>
      <c r="AA174" s="2"/>
    </row>
    <row r="175" spans="7:27" x14ac:dyDescent="0.25">
      <c r="G175" s="30"/>
      <c r="AA175" s="2"/>
    </row>
    <row r="176" spans="7:27" x14ac:dyDescent="0.25">
      <c r="G176" s="30"/>
      <c r="AA176" s="2"/>
    </row>
    <row r="177" spans="7:27" x14ac:dyDescent="0.25">
      <c r="G177" s="30"/>
      <c r="AA177" s="2"/>
    </row>
    <row r="178" spans="7:27" x14ac:dyDescent="0.25">
      <c r="G178" s="30"/>
      <c r="AA178" s="2"/>
    </row>
    <row r="179" spans="7:27" x14ac:dyDescent="0.25">
      <c r="G179" s="30"/>
      <c r="AA179" s="2"/>
    </row>
    <row r="180" spans="7:27" x14ac:dyDescent="0.25">
      <c r="G180" s="30"/>
      <c r="AA180" s="2"/>
    </row>
    <row r="181" spans="7:27" x14ac:dyDescent="0.25">
      <c r="G181" s="30"/>
      <c r="AA181" s="2"/>
    </row>
    <row r="182" spans="7:27" ht="15" customHeight="1" x14ac:dyDescent="0.25">
      <c r="G182" s="30"/>
      <c r="AA182" s="2"/>
    </row>
    <row r="183" spans="7:27" ht="15" customHeight="1" x14ac:dyDescent="0.25">
      <c r="G183" s="30"/>
      <c r="AA183" s="2"/>
    </row>
    <row r="184" spans="7:27" ht="15" customHeight="1" x14ac:dyDescent="0.25">
      <c r="G184" s="30"/>
      <c r="AA184" s="2"/>
    </row>
    <row r="185" spans="7:27" ht="15" customHeight="1" x14ac:dyDescent="0.25">
      <c r="G185" s="30"/>
      <c r="AA185" s="2"/>
    </row>
    <row r="186" spans="7:27" ht="15" customHeight="1" x14ac:dyDescent="0.25">
      <c r="G186" s="30"/>
      <c r="AA186" s="2"/>
    </row>
    <row r="187" spans="7:27" ht="15" customHeight="1" x14ac:dyDescent="0.25">
      <c r="G187" s="30"/>
      <c r="AA187" s="2"/>
    </row>
    <row r="188" spans="7:27" x14ac:dyDescent="0.25">
      <c r="G188" s="30"/>
      <c r="AA188" s="2"/>
    </row>
    <row r="189" spans="7:27" ht="15" customHeight="1" x14ac:dyDescent="0.25">
      <c r="G189" s="30"/>
      <c r="AA189" s="2"/>
    </row>
    <row r="190" spans="7:27" x14ac:dyDescent="0.25">
      <c r="G190" s="30"/>
      <c r="AA190" s="2"/>
    </row>
    <row r="191" spans="7:27" x14ac:dyDescent="0.25">
      <c r="G191" s="30"/>
      <c r="AA191" s="2"/>
    </row>
    <row r="192" spans="7:27" x14ac:dyDescent="0.25">
      <c r="G192" s="30"/>
      <c r="AA192" s="2"/>
    </row>
    <row r="193" spans="7:27" x14ac:dyDescent="0.25">
      <c r="G193" s="30"/>
      <c r="AA193" s="2"/>
    </row>
    <row r="194" spans="7:27" x14ac:dyDescent="0.25">
      <c r="G194" s="30"/>
      <c r="AA194" s="2"/>
    </row>
    <row r="195" spans="7:27" x14ac:dyDescent="0.25">
      <c r="G195" s="30"/>
      <c r="AA195" s="2"/>
    </row>
    <row r="196" spans="7:27" x14ac:dyDescent="0.25">
      <c r="G196" s="30"/>
      <c r="AA196" s="2"/>
    </row>
    <row r="197" spans="7:27" x14ac:dyDescent="0.25">
      <c r="G197" s="30"/>
      <c r="AA197" s="2"/>
    </row>
    <row r="198" spans="7:27" x14ac:dyDescent="0.25">
      <c r="G198" s="30"/>
      <c r="AA198" s="2"/>
    </row>
    <row r="199" spans="7:27" x14ac:dyDescent="0.25">
      <c r="G199" s="30"/>
      <c r="AA199" s="2"/>
    </row>
    <row r="200" spans="7:27" x14ac:dyDescent="0.25">
      <c r="G200" s="30"/>
      <c r="AA200" s="2"/>
    </row>
    <row r="201" spans="7:27" x14ac:dyDescent="0.25">
      <c r="G201" s="30"/>
      <c r="AA201" s="2"/>
    </row>
    <row r="202" spans="7:27" x14ac:dyDescent="0.25">
      <c r="G202" s="30"/>
      <c r="AA202" s="2"/>
    </row>
    <row r="203" spans="7:27" x14ac:dyDescent="0.25">
      <c r="G203" s="30"/>
      <c r="AA203" s="2"/>
    </row>
    <row r="204" spans="7:27" x14ac:dyDescent="0.25">
      <c r="G204" s="30"/>
      <c r="AA204" s="2"/>
    </row>
    <row r="205" spans="7:27" x14ac:dyDescent="0.25">
      <c r="G205" s="30"/>
      <c r="AA205" s="2"/>
    </row>
    <row r="206" spans="7:27" x14ac:dyDescent="0.25">
      <c r="G206" s="30"/>
      <c r="AA206" s="2"/>
    </row>
    <row r="207" spans="7:27" x14ac:dyDescent="0.25">
      <c r="G207" s="30"/>
      <c r="AA207" s="2"/>
    </row>
    <row r="208" spans="7:27" x14ac:dyDescent="0.25">
      <c r="G208" s="30"/>
      <c r="AA208" s="2"/>
    </row>
    <row r="209" spans="7:27" x14ac:dyDescent="0.25">
      <c r="G209" s="30"/>
      <c r="AA209" s="2"/>
    </row>
    <row r="210" spans="7:27" x14ac:dyDescent="0.25">
      <c r="G210" s="30"/>
      <c r="AA210" s="2"/>
    </row>
    <row r="211" spans="7:27" x14ac:dyDescent="0.25">
      <c r="G211" s="30"/>
      <c r="AA211" s="2"/>
    </row>
    <row r="212" spans="7:27" x14ac:dyDescent="0.25">
      <c r="G212" s="30"/>
      <c r="AA212" s="2"/>
    </row>
    <row r="213" spans="7:27" x14ac:dyDescent="0.25">
      <c r="G213" s="30"/>
      <c r="AA213" s="2"/>
    </row>
    <row r="214" spans="7:27" x14ac:dyDescent="0.25">
      <c r="G214" s="30"/>
      <c r="AA214" s="2"/>
    </row>
    <row r="215" spans="7:27" x14ac:dyDescent="0.25">
      <c r="G215" s="30"/>
      <c r="AA215" s="2"/>
    </row>
    <row r="216" spans="7:27" x14ac:dyDescent="0.25">
      <c r="G216" s="30"/>
      <c r="AA216" s="2"/>
    </row>
    <row r="217" spans="7:27" x14ac:dyDescent="0.25">
      <c r="G217" s="30"/>
      <c r="AA217" s="2"/>
    </row>
    <row r="218" spans="7:27" x14ac:dyDescent="0.25">
      <c r="G218" s="30"/>
      <c r="AA218" s="2"/>
    </row>
    <row r="219" spans="7:27" x14ac:dyDescent="0.25">
      <c r="G219" s="30"/>
      <c r="AA219" s="2"/>
    </row>
    <row r="220" spans="7:27" x14ac:dyDescent="0.25">
      <c r="G220" s="30"/>
      <c r="AA220" s="2"/>
    </row>
    <row r="221" spans="7:27" x14ac:dyDescent="0.25">
      <c r="G221" s="30"/>
      <c r="AA221" s="2"/>
    </row>
    <row r="222" spans="7:27" x14ac:dyDescent="0.25">
      <c r="G222" s="30"/>
      <c r="AA222" s="2"/>
    </row>
    <row r="223" spans="7:27" x14ac:dyDescent="0.25">
      <c r="G223" s="30"/>
      <c r="AA223" s="2"/>
    </row>
    <row r="224" spans="7:27" x14ac:dyDescent="0.25">
      <c r="G224" s="30"/>
      <c r="AA224" s="2"/>
    </row>
    <row r="225" spans="7:27" x14ac:dyDescent="0.25">
      <c r="G225" s="30"/>
      <c r="AA225" s="2"/>
    </row>
    <row r="226" spans="7:27" x14ac:dyDescent="0.25">
      <c r="G226" s="30"/>
      <c r="AA226" s="2"/>
    </row>
    <row r="227" spans="7:27" ht="15" customHeight="1" x14ac:dyDescent="0.25">
      <c r="G227" s="30"/>
      <c r="AA227" s="2"/>
    </row>
    <row r="228" spans="7:27" ht="15" customHeight="1" x14ac:dyDescent="0.25">
      <c r="G228" s="30"/>
      <c r="AA228" s="2"/>
    </row>
    <row r="229" spans="7:27" ht="15" customHeight="1" x14ac:dyDescent="0.25">
      <c r="G229" s="30"/>
      <c r="AA229" s="2"/>
    </row>
    <row r="230" spans="7:27" ht="15" customHeight="1" x14ac:dyDescent="0.25">
      <c r="G230" s="30"/>
      <c r="AA230" s="2"/>
    </row>
    <row r="231" spans="7:27" ht="15" customHeight="1" x14ac:dyDescent="0.25">
      <c r="G231" s="30"/>
      <c r="AA231" s="2"/>
    </row>
    <row r="232" spans="7:27" ht="15" customHeight="1" x14ac:dyDescent="0.25">
      <c r="G232" s="30"/>
      <c r="AA232" s="2"/>
    </row>
    <row r="233" spans="7:27" x14ac:dyDescent="0.25">
      <c r="G233" s="30"/>
      <c r="AA233" s="2"/>
    </row>
    <row r="234" spans="7:27" ht="15" customHeight="1" x14ac:dyDescent="0.25">
      <c r="G234" s="30"/>
      <c r="AA234" s="2"/>
    </row>
    <row r="235" spans="7:27" x14ac:dyDescent="0.25">
      <c r="G235" s="30"/>
      <c r="AA235" s="2"/>
    </row>
    <row r="236" spans="7:27" x14ac:dyDescent="0.25">
      <c r="G236" s="30"/>
      <c r="AA236" s="2"/>
    </row>
    <row r="237" spans="7:27" x14ac:dyDescent="0.25">
      <c r="G237" s="30"/>
      <c r="AA237" s="2"/>
    </row>
    <row r="238" spans="7:27" x14ac:dyDescent="0.25">
      <c r="G238" s="30"/>
      <c r="AA238" s="2"/>
    </row>
    <row r="239" spans="7:27" x14ac:dyDescent="0.25">
      <c r="G239" s="30"/>
      <c r="AA239" s="2"/>
    </row>
    <row r="240" spans="7:27" x14ac:dyDescent="0.25">
      <c r="G240" s="30"/>
      <c r="AA240" s="2"/>
    </row>
    <row r="241" spans="7:27" x14ac:dyDescent="0.25">
      <c r="G241" s="30"/>
      <c r="AA241" s="2"/>
    </row>
    <row r="242" spans="7:27" x14ac:dyDescent="0.25">
      <c r="G242" s="30"/>
      <c r="AA242" s="2"/>
    </row>
    <row r="243" spans="7:27" x14ac:dyDescent="0.25">
      <c r="G243" s="30"/>
      <c r="AA243" s="2"/>
    </row>
    <row r="244" spans="7:27" x14ac:dyDescent="0.25">
      <c r="G244" s="30"/>
      <c r="AA244" s="2"/>
    </row>
    <row r="245" spans="7:27" x14ac:dyDescent="0.25">
      <c r="G245" s="30"/>
      <c r="AA245" s="2"/>
    </row>
    <row r="246" spans="7:27" x14ac:dyDescent="0.25">
      <c r="G246" s="30"/>
      <c r="AA246" s="2"/>
    </row>
    <row r="247" spans="7:27" x14ac:dyDescent="0.25">
      <c r="G247" s="30"/>
      <c r="AA247" s="2"/>
    </row>
    <row r="248" spans="7:27" x14ac:dyDescent="0.25">
      <c r="G248" s="30"/>
      <c r="AA248" s="2"/>
    </row>
    <row r="249" spans="7:27" x14ac:dyDescent="0.25">
      <c r="G249" s="30"/>
      <c r="AA249" s="2"/>
    </row>
    <row r="250" spans="7:27" x14ac:dyDescent="0.25">
      <c r="G250" s="30"/>
      <c r="AA250" s="2"/>
    </row>
    <row r="251" spans="7:27" x14ac:dyDescent="0.25">
      <c r="G251" s="30"/>
      <c r="AA251" s="2"/>
    </row>
    <row r="252" spans="7:27" x14ac:dyDescent="0.25">
      <c r="G252" s="30"/>
      <c r="AA252" s="2"/>
    </row>
    <row r="253" spans="7:27" x14ac:dyDescent="0.25">
      <c r="G253" s="30"/>
      <c r="AA253" s="2"/>
    </row>
    <row r="254" spans="7:27" x14ac:dyDescent="0.25">
      <c r="G254" s="30"/>
      <c r="AA254" s="2"/>
    </row>
    <row r="255" spans="7:27" x14ac:dyDescent="0.25">
      <c r="G255" s="30"/>
      <c r="AA255" s="2"/>
    </row>
    <row r="256" spans="7:27" x14ac:dyDescent="0.25">
      <c r="G256" s="30"/>
      <c r="AA256" s="2"/>
    </row>
    <row r="257" spans="7:27" x14ac:dyDescent="0.25">
      <c r="G257" s="30"/>
      <c r="AA257" s="2"/>
    </row>
    <row r="258" spans="7:27" x14ac:dyDescent="0.25">
      <c r="G258" s="30"/>
      <c r="AA258" s="2"/>
    </row>
    <row r="259" spans="7:27" x14ac:dyDescent="0.25">
      <c r="G259" s="30"/>
      <c r="AA259" s="2"/>
    </row>
    <row r="260" spans="7:27" x14ac:dyDescent="0.25">
      <c r="G260" s="30"/>
      <c r="AA260" s="2"/>
    </row>
    <row r="261" spans="7:27" x14ac:dyDescent="0.25">
      <c r="G261" s="30"/>
      <c r="AA261" s="2"/>
    </row>
    <row r="262" spans="7:27" x14ac:dyDescent="0.25">
      <c r="G262" s="30"/>
      <c r="AA262" s="2"/>
    </row>
    <row r="263" spans="7:27" x14ac:dyDescent="0.25">
      <c r="G263" s="30"/>
      <c r="AA263" s="2"/>
    </row>
    <row r="264" spans="7:27" x14ac:dyDescent="0.25">
      <c r="G264" s="30"/>
      <c r="AA264" s="2"/>
    </row>
    <row r="265" spans="7:27" x14ac:dyDescent="0.25">
      <c r="G265" s="30"/>
      <c r="AA265" s="2"/>
    </row>
    <row r="266" spans="7:27" x14ac:dyDescent="0.25">
      <c r="G266" s="30"/>
      <c r="AA266" s="2"/>
    </row>
    <row r="267" spans="7:27" x14ac:dyDescent="0.25">
      <c r="G267" s="30"/>
      <c r="AA267" s="2"/>
    </row>
    <row r="268" spans="7:27" x14ac:dyDescent="0.25">
      <c r="G268" s="30"/>
      <c r="AA268" s="2"/>
    </row>
    <row r="269" spans="7:27" x14ac:dyDescent="0.25">
      <c r="G269" s="30"/>
      <c r="AA269" s="2"/>
    </row>
    <row r="270" spans="7:27" x14ac:dyDescent="0.25">
      <c r="G270" s="30"/>
      <c r="AA270" s="2"/>
    </row>
    <row r="271" spans="7:27" x14ac:dyDescent="0.25">
      <c r="G271" s="30"/>
      <c r="AA271" s="2"/>
    </row>
    <row r="272" spans="7:27" x14ac:dyDescent="0.25">
      <c r="G272" s="30"/>
      <c r="AA272" s="2"/>
    </row>
    <row r="273" spans="7:27" x14ac:dyDescent="0.25">
      <c r="G273" s="30"/>
      <c r="AA273" s="2"/>
    </row>
  </sheetData>
  <mergeCells count="12">
    <mergeCell ref="B11:R49"/>
    <mergeCell ref="A54:A92"/>
    <mergeCell ref="B54:R92"/>
    <mergeCell ref="B97:R135"/>
    <mergeCell ref="A99:A131"/>
    <mergeCell ref="E1:O3"/>
    <mergeCell ref="E4:E5"/>
    <mergeCell ref="F4:O5"/>
    <mergeCell ref="E6:E7"/>
    <mergeCell ref="F6:O7"/>
    <mergeCell ref="E8:E9"/>
    <mergeCell ref="F8:O9"/>
  </mergeCells>
  <pageMargins left="0.19685039370078741" right="0.19685039370078741" top="0.19685039370078741" bottom="0.19685039370078741" header="0" footer="0.35433070866141736"/>
  <pageSetup paperSize="9" scale="39" fitToHeight="3" orientation="portrait" horizontalDpi="1200" verticalDpi="1200" r:id="rId1"/>
  <headerFooter alignWithMargins="0">
    <oddFooter xml:space="preserve">&amp;C&amp;18Tooshop | M. Santos | &amp;D&amp;R&amp;18Página &amp;P de &amp;N         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273"/>
  <sheetViews>
    <sheetView view="pageBreakPreview" zoomScale="37" zoomScaleNormal="70" zoomScaleSheetLayoutView="37" workbookViewId="0">
      <selection activeCell="T57" sqref="T57"/>
    </sheetView>
  </sheetViews>
  <sheetFormatPr defaultRowHeight="15" x14ac:dyDescent="0.25"/>
  <cols>
    <col min="1" max="1" width="4.7109375" style="2" customWidth="1"/>
    <col min="2" max="2" width="9.140625" style="2"/>
    <col min="3" max="4" width="15.7109375" style="2" customWidth="1"/>
    <col min="5" max="5" width="30.7109375" style="2" customWidth="1"/>
    <col min="6" max="6" width="18.7109375" style="2" customWidth="1"/>
    <col min="7" max="13" width="9.140625" style="2"/>
    <col min="14" max="14" width="25.7109375" style="2" customWidth="1"/>
    <col min="15" max="15" width="30.7109375" style="2" customWidth="1"/>
    <col min="16" max="17" width="15.7109375" style="2" customWidth="1"/>
    <col min="18" max="18" width="9.140625" style="2" customWidth="1"/>
    <col min="19" max="19" width="4.5703125" style="2" customWidth="1"/>
    <col min="20" max="20" width="50.140625" style="2" customWidth="1"/>
    <col min="21" max="21" width="6.85546875" style="2" customWidth="1"/>
    <col min="22" max="22" width="6.5703125" style="2" customWidth="1"/>
    <col min="23" max="23" width="6.7109375" style="2" customWidth="1"/>
    <col min="24" max="24" width="7.28515625" style="2" customWidth="1"/>
    <col min="25" max="25" width="9.140625" style="2"/>
    <col min="26" max="26" width="39" style="2" bestFit="1" customWidth="1"/>
    <col min="27" max="27" width="13.5703125" style="30" bestFit="1" customWidth="1"/>
    <col min="28" max="28" width="10.42578125" style="2" bestFit="1" customWidth="1"/>
    <col min="29" max="29" width="19.42578125" style="2" bestFit="1" customWidth="1"/>
    <col min="30" max="30" width="5.42578125" style="2" bestFit="1" customWidth="1"/>
    <col min="31" max="16384" width="9.140625" style="2"/>
  </cols>
  <sheetData>
    <row r="1" spans="1:30" ht="15" customHeight="1" x14ac:dyDescent="0.25">
      <c r="A1" s="13"/>
      <c r="B1" s="3"/>
      <c r="C1" s="3"/>
      <c r="D1" s="3"/>
      <c r="E1" s="116" t="s">
        <v>3</v>
      </c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3"/>
      <c r="Q1" s="3"/>
      <c r="R1" s="3"/>
      <c r="S1" s="4"/>
      <c r="T1" s="10"/>
      <c r="Z1" s="49" t="s">
        <v>4</v>
      </c>
      <c r="AA1" s="88"/>
      <c r="AB1" s="102"/>
      <c r="AC1" s="103"/>
      <c r="AD1" s="104"/>
    </row>
    <row r="2" spans="1:30" ht="15" customHeight="1" x14ac:dyDescent="0.25">
      <c r="A2" s="14"/>
      <c r="B2" s="56"/>
      <c r="C2" s="56"/>
      <c r="D2" s="56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58"/>
      <c r="Q2" s="56"/>
      <c r="R2" s="56"/>
      <c r="S2" s="6"/>
      <c r="Z2" s="50" t="s">
        <v>477</v>
      </c>
      <c r="AA2" s="89"/>
      <c r="AB2" s="95"/>
      <c r="AC2" s="95"/>
      <c r="AD2" s="105"/>
    </row>
    <row r="3" spans="1:30" ht="15" customHeight="1" x14ac:dyDescent="0.25">
      <c r="A3" s="14"/>
      <c r="B3" s="56"/>
      <c r="C3" s="56"/>
      <c r="D3" s="56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58"/>
      <c r="Q3" s="56"/>
      <c r="R3" s="56"/>
      <c r="S3" s="6"/>
      <c r="Z3" s="50" t="s">
        <v>476</v>
      </c>
      <c r="AA3" s="89">
        <v>2</v>
      </c>
      <c r="AB3" s="95"/>
      <c r="AC3" s="95"/>
      <c r="AD3" s="105"/>
    </row>
    <row r="4" spans="1:30" ht="15" customHeight="1" x14ac:dyDescent="0.25">
      <c r="A4" s="14"/>
      <c r="B4" s="56"/>
      <c r="C4" s="56"/>
      <c r="D4" s="56"/>
      <c r="E4" s="129" t="str">
        <f>"Projeto: "</f>
        <v xml:space="preserve">Projeto: </v>
      </c>
      <c r="F4" s="131" t="str">
        <f>T7</f>
        <v>VW276_EU</v>
      </c>
      <c r="G4" s="131"/>
      <c r="H4" s="131"/>
      <c r="I4" s="131"/>
      <c r="J4" s="131"/>
      <c r="K4" s="131"/>
      <c r="L4" s="131"/>
      <c r="M4" s="131"/>
      <c r="N4" s="131"/>
      <c r="O4" s="132"/>
      <c r="P4" s="58"/>
      <c r="Q4" s="56"/>
      <c r="R4" s="56"/>
      <c r="S4" s="6"/>
      <c r="Z4" s="50" t="s">
        <v>218</v>
      </c>
      <c r="AA4" s="89"/>
      <c r="AB4" s="95"/>
      <c r="AC4" s="95"/>
      <c r="AD4" s="105"/>
    </row>
    <row r="5" spans="1:30" ht="15" customHeight="1" x14ac:dyDescent="0.25">
      <c r="A5" s="80"/>
      <c r="B5" s="54"/>
      <c r="C5" s="55"/>
      <c r="D5" s="55"/>
      <c r="E5" s="130"/>
      <c r="F5" s="133"/>
      <c r="G5" s="133"/>
      <c r="H5" s="133"/>
      <c r="I5" s="133"/>
      <c r="J5" s="133"/>
      <c r="K5" s="133"/>
      <c r="L5" s="133"/>
      <c r="M5" s="133"/>
      <c r="N5" s="133"/>
      <c r="O5" s="134"/>
      <c r="P5" s="58"/>
      <c r="Q5" s="55"/>
      <c r="R5" s="55"/>
      <c r="S5" s="6"/>
      <c r="Z5" s="50" t="s">
        <v>475</v>
      </c>
      <c r="AA5" s="89"/>
      <c r="AB5" s="95"/>
      <c r="AC5" s="95"/>
      <c r="AD5" s="105"/>
    </row>
    <row r="6" spans="1:30" ht="15" customHeight="1" x14ac:dyDescent="0.25">
      <c r="A6" s="80"/>
      <c r="B6" s="54"/>
      <c r="C6" s="55"/>
      <c r="D6" s="55"/>
      <c r="E6" s="135" t="str">
        <f>"Peça: "</f>
        <v xml:space="preserve">Peça: </v>
      </c>
      <c r="F6" s="136" t="str">
        <f>T8</f>
        <v>2GA.823.155</v>
      </c>
      <c r="G6" s="136"/>
      <c r="H6" s="136"/>
      <c r="I6" s="136"/>
      <c r="J6" s="136"/>
      <c r="K6" s="136"/>
      <c r="L6" s="136"/>
      <c r="M6" s="136"/>
      <c r="N6" s="136"/>
      <c r="O6" s="137"/>
      <c r="P6" s="58"/>
      <c r="Q6" s="55"/>
      <c r="R6" s="55"/>
      <c r="S6" s="6"/>
      <c r="T6" s="17" t="s">
        <v>362</v>
      </c>
      <c r="Z6" s="50" t="s">
        <v>249</v>
      </c>
      <c r="AA6" s="89"/>
      <c r="AB6" s="95"/>
      <c r="AC6" s="95"/>
      <c r="AD6" s="105"/>
    </row>
    <row r="7" spans="1:30" ht="15" customHeight="1" x14ac:dyDescent="0.25">
      <c r="A7" s="80"/>
      <c r="B7" s="54"/>
      <c r="C7" s="55"/>
      <c r="D7" s="55"/>
      <c r="E7" s="130"/>
      <c r="F7" s="133"/>
      <c r="G7" s="133"/>
      <c r="H7" s="133"/>
      <c r="I7" s="133"/>
      <c r="J7" s="133"/>
      <c r="K7" s="133"/>
      <c r="L7" s="133"/>
      <c r="M7" s="133"/>
      <c r="N7" s="133"/>
      <c r="O7" s="134"/>
      <c r="P7" s="55"/>
      <c r="Q7" s="55"/>
      <c r="R7" s="55"/>
      <c r="S7" s="6"/>
      <c r="T7" s="53" t="s">
        <v>79</v>
      </c>
      <c r="Z7" s="50" t="s">
        <v>2</v>
      </c>
      <c r="AA7" s="89">
        <f>SUM(AA2:AA6)</f>
        <v>2</v>
      </c>
      <c r="AB7" s="95">
        <f>SUM(AB2:AB6)</f>
        <v>0</v>
      </c>
      <c r="AC7" s="95"/>
      <c r="AD7" s="105"/>
    </row>
    <row r="8" spans="1:30" ht="15" customHeight="1" x14ac:dyDescent="0.25">
      <c r="A8" s="15"/>
      <c r="E8" s="135" t="str">
        <f>"Ano: "</f>
        <v xml:space="preserve">Ano: </v>
      </c>
      <c r="F8" s="136">
        <f>T9</f>
        <v>2017</v>
      </c>
      <c r="G8" s="136"/>
      <c r="H8" s="136"/>
      <c r="I8" s="136"/>
      <c r="J8" s="136"/>
      <c r="K8" s="136"/>
      <c r="L8" s="136"/>
      <c r="M8" s="136"/>
      <c r="N8" s="136"/>
      <c r="O8" s="137"/>
      <c r="S8" s="6"/>
      <c r="T8" s="2" t="s">
        <v>120</v>
      </c>
      <c r="Z8" s="48" t="s">
        <v>5</v>
      </c>
      <c r="AA8" s="90"/>
      <c r="AB8" s="106"/>
      <c r="AC8" s="106"/>
      <c r="AD8" s="107"/>
    </row>
    <row r="9" spans="1:30" ht="15" customHeight="1" x14ac:dyDescent="0.25">
      <c r="A9" s="81"/>
      <c r="B9" s="57"/>
      <c r="C9" s="57"/>
      <c r="D9" s="57"/>
      <c r="E9" s="130"/>
      <c r="F9" s="133"/>
      <c r="G9" s="133"/>
      <c r="H9" s="133"/>
      <c r="I9" s="133"/>
      <c r="J9" s="133"/>
      <c r="K9" s="133"/>
      <c r="L9" s="133"/>
      <c r="M9" s="133"/>
      <c r="N9" s="133"/>
      <c r="O9" s="134"/>
      <c r="P9" s="57"/>
      <c r="Q9" s="57"/>
      <c r="R9" s="57"/>
      <c r="S9" s="6"/>
      <c r="T9" s="2">
        <v>2017</v>
      </c>
      <c r="Z9" s="44" t="s">
        <v>8</v>
      </c>
      <c r="AA9" s="91"/>
      <c r="AB9" s="108"/>
      <c r="AC9" s="108"/>
      <c r="AD9" s="109"/>
    </row>
    <row r="10" spans="1:30" x14ac:dyDescent="0.25">
      <c r="A10" s="81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6"/>
      <c r="Z10" s="44" t="s">
        <v>7</v>
      </c>
      <c r="AA10" s="91"/>
      <c r="AB10" s="108"/>
      <c r="AC10" s="108"/>
      <c r="AD10" s="109"/>
    </row>
    <row r="11" spans="1:30" ht="15" customHeight="1" x14ac:dyDescent="0.25">
      <c r="A11" s="81"/>
      <c r="B11" s="118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6"/>
      <c r="Z11" s="44" t="s">
        <v>41</v>
      </c>
      <c r="AA11" s="91"/>
      <c r="AB11" s="108"/>
      <c r="AC11" s="108"/>
      <c r="AD11" s="109"/>
    </row>
    <row r="12" spans="1:30" ht="15" customHeight="1" x14ac:dyDescent="0.25">
      <c r="A12" s="81"/>
      <c r="B12" s="118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6"/>
      <c r="Z12" s="44" t="s">
        <v>40</v>
      </c>
      <c r="AA12" s="91"/>
      <c r="AB12" s="108"/>
      <c r="AC12" s="108"/>
      <c r="AD12" s="109"/>
    </row>
    <row r="13" spans="1:30" ht="15" customHeight="1" x14ac:dyDescent="0.25">
      <c r="A13" s="81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6"/>
      <c r="T13" s="12"/>
      <c r="Z13" s="44" t="s">
        <v>1</v>
      </c>
      <c r="AA13" s="91"/>
      <c r="AB13" s="108"/>
      <c r="AC13" s="108"/>
      <c r="AD13" s="109"/>
    </row>
    <row r="14" spans="1:30" ht="15" customHeight="1" x14ac:dyDescent="0.25">
      <c r="A14" s="81"/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6"/>
      <c r="T14" s="11"/>
      <c r="Z14" s="96" t="s">
        <v>356</v>
      </c>
      <c r="AA14" s="94"/>
      <c r="AB14" s="110"/>
      <c r="AC14" s="110"/>
      <c r="AD14" s="111"/>
    </row>
    <row r="15" spans="1:30" ht="15" customHeight="1" x14ac:dyDescent="0.25">
      <c r="A15" s="81"/>
      <c r="B15" s="118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6"/>
      <c r="Z15" s="45" t="s">
        <v>353</v>
      </c>
      <c r="AA15" s="98"/>
      <c r="AB15" s="99"/>
      <c r="AC15" s="100"/>
      <c r="AD15" s="101"/>
    </row>
    <row r="16" spans="1:30" ht="15" customHeight="1" x14ac:dyDescent="0.25">
      <c r="A16" s="81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6"/>
      <c r="Z16" s="45" t="s">
        <v>185</v>
      </c>
      <c r="AA16" s="98"/>
      <c r="AB16" s="99"/>
      <c r="AC16" s="100"/>
      <c r="AD16" s="101"/>
    </row>
    <row r="17" spans="1:30" x14ac:dyDescent="0.25">
      <c r="A17" s="81"/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6"/>
      <c r="Z17" s="45" t="s">
        <v>210</v>
      </c>
      <c r="AA17" s="98"/>
      <c r="AB17" s="99"/>
      <c r="AC17" s="100"/>
      <c r="AD17" s="101"/>
    </row>
    <row r="18" spans="1:30" x14ac:dyDescent="0.25">
      <c r="A18" s="81"/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6"/>
      <c r="Z18" s="45" t="s">
        <v>354</v>
      </c>
      <c r="AA18" s="98"/>
      <c r="AB18" s="99"/>
      <c r="AC18" s="100"/>
      <c r="AD18" s="101"/>
    </row>
    <row r="19" spans="1:30" x14ac:dyDescent="0.25">
      <c r="A19" s="81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6"/>
      <c r="Z19" s="45" t="s">
        <v>46</v>
      </c>
      <c r="AA19" s="98"/>
      <c r="AB19" s="99"/>
      <c r="AC19" s="100"/>
      <c r="AD19" s="101"/>
    </row>
    <row r="20" spans="1:30" x14ac:dyDescent="0.25">
      <c r="A20" s="81"/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6"/>
      <c r="Z20" s="45" t="s">
        <v>204</v>
      </c>
      <c r="AA20" s="98"/>
      <c r="AB20" s="99"/>
      <c r="AC20" s="100"/>
      <c r="AD20" s="101"/>
    </row>
    <row r="21" spans="1:30" x14ac:dyDescent="0.25">
      <c r="A21" s="81"/>
      <c r="B21" s="118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6"/>
      <c r="Z21" s="45" t="s">
        <v>143</v>
      </c>
      <c r="AA21" s="98"/>
      <c r="AB21" s="99"/>
      <c r="AC21" s="100"/>
      <c r="AD21" s="101"/>
    </row>
    <row r="22" spans="1:30" x14ac:dyDescent="0.25">
      <c r="A22" s="81"/>
      <c r="B22" s="118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6"/>
      <c r="Z22" s="45" t="s">
        <v>147</v>
      </c>
      <c r="AA22" s="98"/>
      <c r="AB22" s="99"/>
      <c r="AC22" s="100"/>
      <c r="AD22" s="101"/>
    </row>
    <row r="23" spans="1:30" x14ac:dyDescent="0.25">
      <c r="A23" s="81"/>
      <c r="B23" s="118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6"/>
      <c r="Z23" s="45" t="s">
        <v>57</v>
      </c>
      <c r="AA23" s="98"/>
      <c r="AB23" s="99"/>
      <c r="AC23" s="100"/>
      <c r="AD23" s="101"/>
    </row>
    <row r="24" spans="1:30" x14ac:dyDescent="0.25">
      <c r="A24" s="81"/>
      <c r="B24" s="11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6"/>
      <c r="Z24" s="46" t="s">
        <v>52</v>
      </c>
      <c r="AA24" s="98"/>
      <c r="AB24" s="99"/>
      <c r="AC24" s="100"/>
      <c r="AD24" s="101">
        <v>2</v>
      </c>
    </row>
    <row r="25" spans="1:30" x14ac:dyDescent="0.25">
      <c r="A25" s="81"/>
      <c r="B25" s="118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6"/>
      <c r="Z25" s="46"/>
      <c r="AA25" s="98"/>
      <c r="AB25" s="99"/>
      <c r="AC25" s="100"/>
      <c r="AD25" s="101"/>
    </row>
    <row r="26" spans="1:30" x14ac:dyDescent="0.25">
      <c r="A26" s="81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6"/>
      <c r="Z26" s="46"/>
      <c r="AA26" s="92"/>
      <c r="AB26" s="100"/>
      <c r="AC26" s="100"/>
      <c r="AD26" s="101"/>
    </row>
    <row r="27" spans="1:30" x14ac:dyDescent="0.25">
      <c r="A27" s="81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6"/>
      <c r="Z27" s="46"/>
      <c r="AA27" s="92"/>
      <c r="AB27" s="100"/>
      <c r="AC27" s="100"/>
      <c r="AD27" s="101"/>
    </row>
    <row r="28" spans="1:30" x14ac:dyDescent="0.25">
      <c r="A28" s="81"/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6"/>
      <c r="Z28" s="97"/>
      <c r="AA28" s="92" t="s">
        <v>8</v>
      </c>
      <c r="AB28" s="100" t="s">
        <v>7</v>
      </c>
      <c r="AC28" s="100" t="s">
        <v>41</v>
      </c>
      <c r="AD28" s="101" t="s">
        <v>479</v>
      </c>
    </row>
    <row r="29" spans="1:30" x14ac:dyDescent="0.25">
      <c r="A29" s="81"/>
      <c r="B29" s="118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6"/>
      <c r="Z29" s="46"/>
      <c r="AA29" s="92"/>
      <c r="AB29" s="100"/>
      <c r="AC29" s="100"/>
      <c r="AD29" s="101"/>
    </row>
    <row r="30" spans="1:30" x14ac:dyDescent="0.25">
      <c r="A30" s="81"/>
      <c r="B30" s="118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6"/>
      <c r="Z30" s="46"/>
      <c r="AA30" s="92"/>
      <c r="AB30" s="100"/>
      <c r="AC30" s="100"/>
      <c r="AD30" s="101"/>
    </row>
    <row r="31" spans="1:30" x14ac:dyDescent="0.25">
      <c r="A31" s="81"/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6"/>
      <c r="Z31" s="46"/>
      <c r="AA31" s="92"/>
      <c r="AB31" s="100"/>
      <c r="AC31" s="100"/>
      <c r="AD31" s="101"/>
    </row>
    <row r="32" spans="1:30" x14ac:dyDescent="0.25">
      <c r="A32" s="81"/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6"/>
      <c r="Z32" s="46"/>
      <c r="AA32" s="92"/>
      <c r="AB32" s="100"/>
      <c r="AC32" s="100"/>
      <c r="AD32" s="101"/>
    </row>
    <row r="33" spans="1:30" x14ac:dyDescent="0.25">
      <c r="A33" s="81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6"/>
      <c r="Z33" s="46"/>
      <c r="AA33" s="92"/>
      <c r="AB33" s="100"/>
      <c r="AC33" s="100"/>
      <c r="AD33" s="101"/>
    </row>
    <row r="34" spans="1:30" x14ac:dyDescent="0.25">
      <c r="A34" s="81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6"/>
      <c r="Z34" s="97"/>
      <c r="AA34" s="92"/>
      <c r="AB34" s="100"/>
      <c r="AC34" s="100"/>
      <c r="AD34" s="101"/>
    </row>
    <row r="35" spans="1:30" x14ac:dyDescent="0.25">
      <c r="A35" s="81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6"/>
      <c r="Z35" s="46"/>
      <c r="AA35" s="92"/>
      <c r="AB35" s="100"/>
      <c r="AC35" s="100"/>
      <c r="AD35" s="101"/>
    </row>
    <row r="36" spans="1:30" x14ac:dyDescent="0.25">
      <c r="A36" s="81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6"/>
      <c r="Z36" s="46"/>
      <c r="AA36" s="92"/>
      <c r="AB36" s="100"/>
      <c r="AC36" s="100"/>
      <c r="AD36" s="101"/>
    </row>
    <row r="37" spans="1:30" x14ac:dyDescent="0.25">
      <c r="A37" s="81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6"/>
      <c r="Z37" s="46"/>
      <c r="AA37" s="92"/>
      <c r="AB37" s="100"/>
      <c r="AC37" s="100"/>
      <c r="AD37" s="101"/>
    </row>
    <row r="38" spans="1:30" x14ac:dyDescent="0.25">
      <c r="A38" s="81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6"/>
      <c r="Z38" s="46"/>
      <c r="AA38" s="92"/>
      <c r="AB38" s="100"/>
      <c r="AC38" s="100"/>
      <c r="AD38" s="101"/>
    </row>
    <row r="39" spans="1:30" ht="15.75" thickBot="1" x14ac:dyDescent="0.3">
      <c r="A39" s="81"/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6"/>
      <c r="Z39" s="47"/>
      <c r="AA39" s="93"/>
      <c r="AB39" s="112"/>
      <c r="AC39" s="112"/>
      <c r="AD39" s="113"/>
    </row>
    <row r="40" spans="1:30" x14ac:dyDescent="0.25">
      <c r="A40" s="81"/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6"/>
    </row>
    <row r="41" spans="1:30" x14ac:dyDescent="0.25">
      <c r="A41" s="81"/>
      <c r="B41" s="118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6"/>
    </row>
    <row r="42" spans="1:30" x14ac:dyDescent="0.25">
      <c r="A42" s="5"/>
      <c r="B42" s="118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6"/>
    </row>
    <row r="43" spans="1:30" x14ac:dyDescent="0.25">
      <c r="A43" s="5"/>
      <c r="B43" s="118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6"/>
    </row>
    <row r="44" spans="1:30" x14ac:dyDescent="0.25">
      <c r="A44" s="5"/>
      <c r="B44" s="118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6"/>
    </row>
    <row r="45" spans="1:30" x14ac:dyDescent="0.25">
      <c r="A45" s="5"/>
      <c r="B45" s="118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8"/>
      <c r="Q45" s="118"/>
      <c r="R45" s="118"/>
      <c r="S45" s="6"/>
    </row>
    <row r="46" spans="1:30" x14ac:dyDescent="0.25">
      <c r="A46" s="15"/>
      <c r="B46" s="118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6"/>
    </row>
    <row r="47" spans="1:30" ht="15" customHeight="1" x14ac:dyDescent="0.25">
      <c r="A47" s="14"/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6"/>
    </row>
    <row r="48" spans="1:30" ht="15" customHeight="1" x14ac:dyDescent="0.25">
      <c r="A48" s="14"/>
      <c r="B48" s="118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6"/>
    </row>
    <row r="49" spans="1:19" ht="15" customHeight="1" x14ac:dyDescent="0.25">
      <c r="A49" s="14"/>
      <c r="B49" s="118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6"/>
    </row>
    <row r="50" spans="1:19" ht="15" customHeight="1" x14ac:dyDescent="0.25">
      <c r="A50" s="80"/>
      <c r="B50" s="54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6"/>
    </row>
    <row r="51" spans="1:19" ht="15" customHeight="1" x14ac:dyDescent="0.25">
      <c r="A51" s="80"/>
      <c r="B51" s="59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"/>
    </row>
    <row r="52" spans="1:19" ht="15" customHeight="1" x14ac:dyDescent="0.25">
      <c r="A52" s="80"/>
      <c r="B52" s="54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6"/>
    </row>
    <row r="53" spans="1:19" x14ac:dyDescent="0.25">
      <c r="A53" s="15"/>
      <c r="S53" s="6"/>
    </row>
    <row r="54" spans="1:19" ht="15" customHeight="1" x14ac:dyDescent="0.25">
      <c r="A54" s="127" t="s">
        <v>163</v>
      </c>
      <c r="B54" s="118"/>
      <c r="C54" s="118"/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6"/>
    </row>
    <row r="55" spans="1:19" x14ac:dyDescent="0.25">
      <c r="A55" s="127"/>
      <c r="B55" s="118"/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6"/>
    </row>
    <row r="56" spans="1:19" x14ac:dyDescent="0.25">
      <c r="A56" s="127"/>
      <c r="B56" s="118"/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6"/>
    </row>
    <row r="57" spans="1:19" x14ac:dyDescent="0.25">
      <c r="A57" s="127"/>
      <c r="B57" s="118"/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6"/>
    </row>
    <row r="58" spans="1:19" x14ac:dyDescent="0.25">
      <c r="A58" s="127"/>
      <c r="B58" s="118"/>
      <c r="C58" s="118"/>
      <c r="D58" s="118"/>
      <c r="E58" s="118"/>
      <c r="F58" s="118"/>
      <c r="G58" s="118"/>
      <c r="H58" s="118"/>
      <c r="I58" s="118"/>
      <c r="J58" s="118"/>
      <c r="K58" s="118"/>
      <c r="L58" s="118"/>
      <c r="M58" s="118"/>
      <c r="N58" s="118"/>
      <c r="O58" s="118"/>
      <c r="P58" s="118"/>
      <c r="Q58" s="118"/>
      <c r="R58" s="118"/>
      <c r="S58" s="6"/>
    </row>
    <row r="59" spans="1:19" x14ac:dyDescent="0.25">
      <c r="A59" s="127"/>
      <c r="B59" s="118"/>
      <c r="C59" s="118"/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6"/>
    </row>
    <row r="60" spans="1:19" x14ac:dyDescent="0.25">
      <c r="A60" s="127"/>
      <c r="B60" s="118"/>
      <c r="C60" s="118"/>
      <c r="D60" s="118"/>
      <c r="E60" s="118"/>
      <c r="F60" s="118"/>
      <c r="G60" s="118"/>
      <c r="H60" s="118"/>
      <c r="I60" s="118"/>
      <c r="J60" s="118"/>
      <c r="K60" s="118"/>
      <c r="L60" s="118"/>
      <c r="M60" s="118"/>
      <c r="N60" s="118"/>
      <c r="O60" s="118"/>
      <c r="P60" s="118"/>
      <c r="Q60" s="118"/>
      <c r="R60" s="118"/>
      <c r="S60" s="6"/>
    </row>
    <row r="61" spans="1:19" x14ac:dyDescent="0.25">
      <c r="A61" s="127"/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6"/>
    </row>
    <row r="62" spans="1:19" x14ac:dyDescent="0.25">
      <c r="A62" s="127"/>
      <c r="B62" s="118"/>
      <c r="C62" s="118"/>
      <c r="D62" s="118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6"/>
    </row>
    <row r="63" spans="1:19" x14ac:dyDescent="0.25">
      <c r="A63" s="127"/>
      <c r="B63" s="118"/>
      <c r="C63" s="118"/>
      <c r="D63" s="118"/>
      <c r="E63" s="118"/>
      <c r="F63" s="118"/>
      <c r="G63" s="118"/>
      <c r="H63" s="118"/>
      <c r="I63" s="118"/>
      <c r="J63" s="118"/>
      <c r="K63" s="118"/>
      <c r="L63" s="118"/>
      <c r="M63" s="118"/>
      <c r="N63" s="118"/>
      <c r="O63" s="118"/>
      <c r="P63" s="118"/>
      <c r="Q63" s="118"/>
      <c r="R63" s="118"/>
      <c r="S63" s="6"/>
    </row>
    <row r="64" spans="1:19" x14ac:dyDescent="0.25">
      <c r="A64" s="127"/>
      <c r="B64" s="118"/>
      <c r="C64" s="118"/>
      <c r="D64" s="118"/>
      <c r="E64" s="118"/>
      <c r="F64" s="118"/>
      <c r="G64" s="118"/>
      <c r="H64" s="118"/>
      <c r="I64" s="118"/>
      <c r="J64" s="118"/>
      <c r="K64" s="118"/>
      <c r="L64" s="118"/>
      <c r="M64" s="118"/>
      <c r="N64" s="118"/>
      <c r="O64" s="118"/>
      <c r="P64" s="118"/>
      <c r="Q64" s="118"/>
      <c r="R64" s="118"/>
      <c r="S64" s="6"/>
    </row>
    <row r="65" spans="1:19" x14ac:dyDescent="0.25">
      <c r="A65" s="127"/>
      <c r="B65" s="118"/>
      <c r="C65" s="118"/>
      <c r="D65" s="118"/>
      <c r="E65" s="118"/>
      <c r="F65" s="118"/>
      <c r="G65" s="118"/>
      <c r="H65" s="118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6"/>
    </row>
    <row r="66" spans="1:19" x14ac:dyDescent="0.25">
      <c r="A66" s="127"/>
      <c r="B66" s="118"/>
      <c r="C66" s="118"/>
      <c r="D66" s="118"/>
      <c r="E66" s="118"/>
      <c r="F66" s="118"/>
      <c r="G66" s="118"/>
      <c r="H66" s="118"/>
      <c r="I66" s="118"/>
      <c r="J66" s="118"/>
      <c r="K66" s="118"/>
      <c r="L66" s="118"/>
      <c r="M66" s="118"/>
      <c r="N66" s="118"/>
      <c r="O66" s="118"/>
      <c r="P66" s="118"/>
      <c r="Q66" s="118"/>
      <c r="R66" s="118"/>
      <c r="S66" s="6"/>
    </row>
    <row r="67" spans="1:19" x14ac:dyDescent="0.25">
      <c r="A67" s="127"/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6"/>
    </row>
    <row r="68" spans="1:19" x14ac:dyDescent="0.25">
      <c r="A68" s="127"/>
      <c r="B68" s="118"/>
      <c r="C68" s="118"/>
      <c r="D68" s="118"/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118"/>
      <c r="Q68" s="118"/>
      <c r="R68" s="118"/>
      <c r="S68" s="6"/>
    </row>
    <row r="69" spans="1:19" x14ac:dyDescent="0.25">
      <c r="A69" s="127"/>
      <c r="B69" s="118"/>
      <c r="C69" s="118"/>
      <c r="D69" s="118"/>
      <c r="E69" s="118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118"/>
      <c r="Q69" s="118"/>
      <c r="R69" s="118"/>
      <c r="S69" s="6"/>
    </row>
    <row r="70" spans="1:19" x14ac:dyDescent="0.25">
      <c r="A70" s="127"/>
      <c r="B70" s="118"/>
      <c r="C70" s="118"/>
      <c r="D70" s="118"/>
      <c r="E70" s="118"/>
      <c r="F70" s="118"/>
      <c r="G70" s="118"/>
      <c r="H70" s="118"/>
      <c r="I70" s="118"/>
      <c r="J70" s="118"/>
      <c r="K70" s="118"/>
      <c r="L70" s="118"/>
      <c r="M70" s="118"/>
      <c r="N70" s="118"/>
      <c r="O70" s="118"/>
      <c r="P70" s="118"/>
      <c r="Q70" s="118"/>
      <c r="R70" s="118"/>
      <c r="S70" s="6"/>
    </row>
    <row r="71" spans="1:19" x14ac:dyDescent="0.25">
      <c r="A71" s="127"/>
      <c r="B71" s="118"/>
      <c r="C71" s="118"/>
      <c r="D71" s="118"/>
      <c r="E71" s="118"/>
      <c r="F71" s="118"/>
      <c r="G71" s="118"/>
      <c r="H71" s="118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6"/>
    </row>
    <row r="72" spans="1:19" x14ac:dyDescent="0.25">
      <c r="A72" s="127"/>
      <c r="B72" s="118"/>
      <c r="C72" s="118"/>
      <c r="D72" s="118"/>
      <c r="E72" s="118"/>
      <c r="F72" s="118"/>
      <c r="G72" s="118"/>
      <c r="H72" s="118"/>
      <c r="I72" s="118"/>
      <c r="J72" s="118"/>
      <c r="K72" s="118"/>
      <c r="L72" s="118"/>
      <c r="M72" s="118"/>
      <c r="N72" s="118"/>
      <c r="O72" s="118"/>
      <c r="P72" s="118"/>
      <c r="Q72" s="118"/>
      <c r="R72" s="118"/>
      <c r="S72" s="6"/>
    </row>
    <row r="73" spans="1:19" x14ac:dyDescent="0.25">
      <c r="A73" s="127"/>
      <c r="B73" s="118"/>
      <c r="C73" s="118"/>
      <c r="D73" s="118"/>
      <c r="E73" s="118"/>
      <c r="F73" s="118"/>
      <c r="G73" s="118"/>
      <c r="H73" s="118"/>
      <c r="I73" s="118"/>
      <c r="J73" s="118"/>
      <c r="K73" s="118"/>
      <c r="L73" s="118"/>
      <c r="M73" s="118"/>
      <c r="N73" s="118"/>
      <c r="O73" s="118"/>
      <c r="P73" s="118"/>
      <c r="Q73" s="118"/>
      <c r="R73" s="118"/>
      <c r="S73" s="6"/>
    </row>
    <row r="74" spans="1:19" x14ac:dyDescent="0.25">
      <c r="A74" s="127"/>
      <c r="B74" s="118"/>
      <c r="C74" s="118"/>
      <c r="D74" s="118"/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6"/>
    </row>
    <row r="75" spans="1:19" x14ac:dyDescent="0.25">
      <c r="A75" s="127"/>
      <c r="B75" s="118"/>
      <c r="C75" s="118"/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6"/>
    </row>
    <row r="76" spans="1:19" x14ac:dyDescent="0.25">
      <c r="A76" s="127"/>
      <c r="B76" s="118"/>
      <c r="C76" s="118"/>
      <c r="D76" s="118"/>
      <c r="E76" s="118"/>
      <c r="F76" s="118"/>
      <c r="G76" s="118"/>
      <c r="H76" s="118"/>
      <c r="I76" s="118"/>
      <c r="J76" s="118"/>
      <c r="K76" s="118"/>
      <c r="L76" s="118"/>
      <c r="M76" s="118"/>
      <c r="N76" s="118"/>
      <c r="O76" s="118"/>
      <c r="P76" s="118"/>
      <c r="Q76" s="118"/>
      <c r="R76" s="118"/>
      <c r="S76" s="6"/>
    </row>
    <row r="77" spans="1:19" x14ac:dyDescent="0.25">
      <c r="A77" s="127"/>
      <c r="B77" s="118"/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6"/>
    </row>
    <row r="78" spans="1:19" x14ac:dyDescent="0.25">
      <c r="A78" s="127"/>
      <c r="B78" s="118"/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6"/>
    </row>
    <row r="79" spans="1:19" x14ac:dyDescent="0.25">
      <c r="A79" s="127"/>
      <c r="B79" s="118"/>
      <c r="C79" s="118"/>
      <c r="D79" s="118"/>
      <c r="E79" s="118"/>
      <c r="F79" s="118"/>
      <c r="G79" s="118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6"/>
    </row>
    <row r="80" spans="1:19" x14ac:dyDescent="0.25">
      <c r="A80" s="127"/>
      <c r="B80" s="118"/>
      <c r="C80" s="118"/>
      <c r="D80" s="118"/>
      <c r="E80" s="118"/>
      <c r="F80" s="118"/>
      <c r="G80" s="118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6"/>
    </row>
    <row r="81" spans="1:26" x14ac:dyDescent="0.25">
      <c r="A81" s="127"/>
      <c r="B81" s="118"/>
      <c r="C81" s="118"/>
      <c r="D81" s="118"/>
      <c r="E81" s="118"/>
      <c r="F81" s="118"/>
      <c r="G81" s="118"/>
      <c r="H81" s="118"/>
      <c r="I81" s="118"/>
      <c r="J81" s="118"/>
      <c r="K81" s="118"/>
      <c r="L81" s="118"/>
      <c r="M81" s="118"/>
      <c r="N81" s="118"/>
      <c r="O81" s="118"/>
      <c r="P81" s="118"/>
      <c r="Q81" s="118"/>
      <c r="R81" s="118"/>
      <c r="S81" s="6"/>
    </row>
    <row r="82" spans="1:26" x14ac:dyDescent="0.25">
      <c r="A82" s="127"/>
      <c r="B82" s="118"/>
      <c r="C82" s="118"/>
      <c r="D82" s="118"/>
      <c r="E82" s="118"/>
      <c r="F82" s="118"/>
      <c r="G82" s="118"/>
      <c r="H82" s="118"/>
      <c r="I82" s="118"/>
      <c r="J82" s="118"/>
      <c r="K82" s="118"/>
      <c r="L82" s="118"/>
      <c r="M82" s="118"/>
      <c r="N82" s="118"/>
      <c r="O82" s="118"/>
      <c r="P82" s="118"/>
      <c r="Q82" s="118"/>
      <c r="R82" s="118"/>
      <c r="S82" s="6"/>
    </row>
    <row r="83" spans="1:26" x14ac:dyDescent="0.25">
      <c r="A83" s="127"/>
      <c r="B83" s="118"/>
      <c r="C83" s="118"/>
      <c r="D83" s="118"/>
      <c r="E83" s="118"/>
      <c r="F83" s="118"/>
      <c r="G83" s="118"/>
      <c r="H83" s="118"/>
      <c r="I83" s="118"/>
      <c r="J83" s="118"/>
      <c r="K83" s="118"/>
      <c r="L83" s="118"/>
      <c r="M83" s="118"/>
      <c r="N83" s="118"/>
      <c r="O83" s="118"/>
      <c r="P83" s="118"/>
      <c r="Q83" s="118"/>
      <c r="R83" s="118"/>
      <c r="S83" s="6"/>
    </row>
    <row r="84" spans="1:26" x14ac:dyDescent="0.25">
      <c r="A84" s="127"/>
      <c r="B84" s="118"/>
      <c r="C84" s="118"/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118"/>
      <c r="Q84" s="118"/>
      <c r="R84" s="118"/>
      <c r="S84" s="6"/>
    </row>
    <row r="85" spans="1:26" x14ac:dyDescent="0.25">
      <c r="A85" s="127"/>
      <c r="B85" s="118"/>
      <c r="C85" s="118"/>
      <c r="D85" s="118"/>
      <c r="E85" s="118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118"/>
      <c r="Q85" s="118"/>
      <c r="R85" s="118"/>
      <c r="S85" s="6"/>
    </row>
    <row r="86" spans="1:26" x14ac:dyDescent="0.25">
      <c r="A86" s="127"/>
      <c r="B86" s="118"/>
      <c r="C86" s="118"/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8"/>
      <c r="Q86" s="118"/>
      <c r="R86" s="118"/>
      <c r="S86" s="6"/>
      <c r="Z86" s="30"/>
    </row>
    <row r="87" spans="1:26" x14ac:dyDescent="0.25">
      <c r="A87" s="127"/>
      <c r="B87" s="118"/>
      <c r="C87" s="118"/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118"/>
      <c r="Q87" s="118"/>
      <c r="R87" s="118"/>
      <c r="S87" s="6"/>
    </row>
    <row r="88" spans="1:26" x14ac:dyDescent="0.25">
      <c r="A88" s="127"/>
      <c r="B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6"/>
    </row>
    <row r="89" spans="1:26" x14ac:dyDescent="0.25">
      <c r="A89" s="127"/>
      <c r="B89" s="11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18"/>
      <c r="O89" s="118"/>
      <c r="P89" s="118"/>
      <c r="Q89" s="118"/>
      <c r="R89" s="118"/>
      <c r="S89" s="6"/>
    </row>
    <row r="90" spans="1:26" x14ac:dyDescent="0.25">
      <c r="A90" s="127"/>
      <c r="B90" s="118"/>
      <c r="C90" s="118"/>
      <c r="D90" s="118"/>
      <c r="E90" s="118"/>
      <c r="F90" s="118"/>
      <c r="G90" s="118"/>
      <c r="H90" s="118"/>
      <c r="I90" s="118"/>
      <c r="J90" s="118"/>
      <c r="K90" s="118"/>
      <c r="L90" s="118"/>
      <c r="M90" s="118"/>
      <c r="N90" s="118"/>
      <c r="O90" s="118"/>
      <c r="P90" s="118"/>
      <c r="Q90" s="118"/>
      <c r="R90" s="118"/>
      <c r="S90" s="76"/>
    </row>
    <row r="91" spans="1:26" x14ac:dyDescent="0.25">
      <c r="A91" s="127"/>
      <c r="B91" s="118"/>
      <c r="C91" s="118"/>
      <c r="D91" s="118"/>
      <c r="E91" s="118"/>
      <c r="F91" s="118"/>
      <c r="G91" s="118"/>
      <c r="H91" s="118"/>
      <c r="I91" s="118"/>
      <c r="J91" s="118"/>
      <c r="K91" s="118"/>
      <c r="L91" s="118"/>
      <c r="M91" s="118"/>
      <c r="N91" s="118"/>
      <c r="O91" s="118"/>
      <c r="P91" s="118"/>
      <c r="Q91" s="118"/>
      <c r="R91" s="118"/>
      <c r="S91" s="77"/>
    </row>
    <row r="92" spans="1:26" ht="15" customHeight="1" x14ac:dyDescent="0.25">
      <c r="A92" s="127"/>
      <c r="B92" s="118"/>
      <c r="C92" s="118"/>
      <c r="D92" s="118"/>
      <c r="E92" s="118"/>
      <c r="F92" s="118"/>
      <c r="G92" s="118"/>
      <c r="H92" s="118"/>
      <c r="I92" s="118"/>
      <c r="J92" s="118"/>
      <c r="K92" s="118"/>
      <c r="L92" s="118"/>
      <c r="M92" s="118"/>
      <c r="N92" s="118"/>
      <c r="O92" s="118"/>
      <c r="P92" s="118"/>
      <c r="Q92" s="118"/>
      <c r="R92" s="118"/>
      <c r="S92" s="77"/>
    </row>
    <row r="93" spans="1:26" ht="15" customHeight="1" x14ac:dyDescent="0.25">
      <c r="A93" s="14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77"/>
    </row>
    <row r="94" spans="1:26" ht="15" customHeight="1" x14ac:dyDescent="0.25">
      <c r="A94" s="14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77"/>
    </row>
    <row r="95" spans="1:26" ht="15" customHeight="1" x14ac:dyDescent="0.25">
      <c r="A95" s="80"/>
      <c r="B95" s="54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77"/>
    </row>
    <row r="96" spans="1:26" ht="15" customHeight="1" x14ac:dyDescent="0.25">
      <c r="A96" s="80"/>
      <c r="B96" s="54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77"/>
    </row>
    <row r="97" spans="1:19" ht="15" customHeight="1" x14ac:dyDescent="0.25">
      <c r="A97" s="80"/>
      <c r="B97" s="125"/>
      <c r="C97" s="125"/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77"/>
    </row>
    <row r="98" spans="1:19" ht="15" customHeight="1" x14ac:dyDescent="0.25">
      <c r="A98" s="82"/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77"/>
    </row>
    <row r="99" spans="1:19" ht="15" customHeight="1" x14ac:dyDescent="0.25">
      <c r="A99" s="128"/>
      <c r="B99" s="125"/>
      <c r="C99" s="125"/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6"/>
    </row>
    <row r="100" spans="1:19" ht="15" customHeight="1" x14ac:dyDescent="0.25">
      <c r="A100" s="128"/>
      <c r="B100" s="125"/>
      <c r="C100" s="125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6"/>
    </row>
    <row r="101" spans="1:19" ht="15" customHeight="1" x14ac:dyDescent="0.25">
      <c r="A101" s="128"/>
      <c r="B101" s="125"/>
      <c r="C101" s="125"/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6"/>
    </row>
    <row r="102" spans="1:19" ht="15" customHeight="1" x14ac:dyDescent="0.25">
      <c r="A102" s="128"/>
      <c r="B102" s="125"/>
      <c r="C102" s="125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6"/>
    </row>
    <row r="103" spans="1:19" ht="15" customHeight="1" x14ac:dyDescent="0.25">
      <c r="A103" s="128"/>
      <c r="B103" s="125"/>
      <c r="C103" s="125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6"/>
    </row>
    <row r="104" spans="1:19" ht="15" customHeight="1" x14ac:dyDescent="0.25">
      <c r="A104" s="128"/>
      <c r="B104" s="125"/>
      <c r="C104" s="125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6"/>
    </row>
    <row r="105" spans="1:19" ht="15" customHeight="1" x14ac:dyDescent="0.25">
      <c r="A105" s="128"/>
      <c r="B105" s="125"/>
      <c r="C105" s="125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6"/>
    </row>
    <row r="106" spans="1:19" ht="15" customHeight="1" x14ac:dyDescent="0.25">
      <c r="A106" s="128"/>
      <c r="B106" s="125"/>
      <c r="C106" s="125"/>
      <c r="D106" s="125"/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6"/>
    </row>
    <row r="107" spans="1:19" ht="15" customHeight="1" x14ac:dyDescent="0.25">
      <c r="A107" s="128"/>
      <c r="B107" s="125"/>
      <c r="C107" s="125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6"/>
    </row>
    <row r="108" spans="1:19" ht="15" customHeight="1" x14ac:dyDescent="0.25">
      <c r="A108" s="128"/>
      <c r="B108" s="125"/>
      <c r="C108" s="125"/>
      <c r="D108" s="125"/>
      <c r="E108" s="125"/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6"/>
    </row>
    <row r="109" spans="1:19" ht="15" customHeight="1" x14ac:dyDescent="0.25">
      <c r="A109" s="128"/>
      <c r="B109" s="125"/>
      <c r="C109" s="125"/>
      <c r="D109" s="125"/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6"/>
    </row>
    <row r="110" spans="1:19" ht="15" customHeight="1" x14ac:dyDescent="0.25">
      <c r="A110" s="128"/>
      <c r="B110" s="125"/>
      <c r="C110" s="125"/>
      <c r="D110" s="125"/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6"/>
    </row>
    <row r="111" spans="1:19" ht="15" customHeight="1" x14ac:dyDescent="0.25">
      <c r="A111" s="128"/>
      <c r="B111" s="125"/>
      <c r="C111" s="125"/>
      <c r="D111" s="125"/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6"/>
    </row>
    <row r="112" spans="1:19" ht="15" customHeight="1" x14ac:dyDescent="0.25">
      <c r="A112" s="128"/>
      <c r="B112" s="125"/>
      <c r="C112" s="125"/>
      <c r="D112" s="125"/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6"/>
    </row>
    <row r="113" spans="1:19" ht="15" customHeight="1" x14ac:dyDescent="0.25">
      <c r="A113" s="128"/>
      <c r="B113" s="125"/>
      <c r="C113" s="125"/>
      <c r="D113" s="125"/>
      <c r="E113" s="125"/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6"/>
    </row>
    <row r="114" spans="1:19" ht="15" customHeight="1" x14ac:dyDescent="0.25">
      <c r="A114" s="128"/>
      <c r="B114" s="125"/>
      <c r="C114" s="125"/>
      <c r="D114" s="125"/>
      <c r="E114" s="125"/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6"/>
    </row>
    <row r="115" spans="1:19" ht="15" customHeight="1" x14ac:dyDescent="0.25">
      <c r="A115" s="128"/>
      <c r="B115" s="125"/>
      <c r="C115" s="125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6"/>
    </row>
    <row r="116" spans="1:19" ht="15" customHeight="1" x14ac:dyDescent="0.25">
      <c r="A116" s="128"/>
      <c r="B116" s="125"/>
      <c r="C116" s="125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6"/>
    </row>
    <row r="117" spans="1:19" ht="15" customHeight="1" x14ac:dyDescent="0.25">
      <c r="A117" s="128"/>
      <c r="B117" s="125"/>
      <c r="C117" s="125"/>
      <c r="D117" s="125"/>
      <c r="E117" s="125"/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6"/>
    </row>
    <row r="118" spans="1:19" ht="15" customHeight="1" x14ac:dyDescent="0.25">
      <c r="A118" s="128"/>
      <c r="B118" s="125"/>
      <c r="C118" s="125"/>
      <c r="D118" s="125"/>
      <c r="E118" s="125"/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6"/>
    </row>
    <row r="119" spans="1:19" ht="15" customHeight="1" x14ac:dyDescent="0.25">
      <c r="A119" s="128"/>
      <c r="B119" s="125"/>
      <c r="C119" s="125"/>
      <c r="D119" s="125"/>
      <c r="E119" s="125"/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6"/>
    </row>
    <row r="120" spans="1:19" ht="15" customHeight="1" x14ac:dyDescent="0.25">
      <c r="A120" s="128"/>
      <c r="B120" s="125"/>
      <c r="C120" s="125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6"/>
    </row>
    <row r="121" spans="1:19" ht="15" customHeight="1" x14ac:dyDescent="0.25">
      <c r="A121" s="128"/>
      <c r="B121" s="125"/>
      <c r="C121" s="125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6"/>
    </row>
    <row r="122" spans="1:19" ht="15" customHeight="1" x14ac:dyDescent="0.25">
      <c r="A122" s="128"/>
      <c r="B122" s="125"/>
      <c r="C122" s="125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6"/>
    </row>
    <row r="123" spans="1:19" ht="15" customHeight="1" x14ac:dyDescent="0.25">
      <c r="A123" s="128"/>
      <c r="B123" s="125"/>
      <c r="C123" s="125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6"/>
    </row>
    <row r="124" spans="1:19" ht="15" customHeight="1" x14ac:dyDescent="0.25">
      <c r="A124" s="128"/>
      <c r="B124" s="125"/>
      <c r="C124" s="125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6"/>
    </row>
    <row r="125" spans="1:19" ht="15" customHeight="1" x14ac:dyDescent="0.25">
      <c r="A125" s="128"/>
      <c r="B125" s="125"/>
      <c r="C125" s="125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6"/>
    </row>
    <row r="126" spans="1:19" ht="15" customHeight="1" x14ac:dyDescent="0.25">
      <c r="A126" s="128"/>
      <c r="B126" s="125"/>
      <c r="C126" s="125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6"/>
    </row>
    <row r="127" spans="1:19" ht="15" customHeight="1" x14ac:dyDescent="0.25">
      <c r="A127" s="128"/>
      <c r="B127" s="125"/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6"/>
    </row>
    <row r="128" spans="1:19" ht="15" customHeight="1" x14ac:dyDescent="0.25">
      <c r="A128" s="128"/>
      <c r="B128" s="125"/>
      <c r="C128" s="125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6"/>
    </row>
    <row r="129" spans="1:27" ht="15" customHeight="1" x14ac:dyDescent="0.25">
      <c r="A129" s="128"/>
      <c r="B129" s="125"/>
      <c r="C129" s="125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6"/>
    </row>
    <row r="130" spans="1:27" ht="15" customHeight="1" x14ac:dyDescent="0.25">
      <c r="A130" s="128"/>
      <c r="B130" s="125"/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6"/>
    </row>
    <row r="131" spans="1:27" ht="15" customHeight="1" x14ac:dyDescent="0.25">
      <c r="A131" s="128"/>
      <c r="B131" s="125"/>
      <c r="C131" s="125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6"/>
    </row>
    <row r="132" spans="1:27" ht="15" customHeight="1" x14ac:dyDescent="0.25">
      <c r="A132" s="5"/>
      <c r="B132" s="125"/>
      <c r="C132" s="125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6"/>
    </row>
    <row r="133" spans="1:27" ht="15" customHeight="1" x14ac:dyDescent="0.25">
      <c r="A133" s="5"/>
      <c r="B133" s="125"/>
      <c r="C133" s="125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6"/>
    </row>
    <row r="134" spans="1:27" ht="15" customHeight="1" x14ac:dyDescent="0.25">
      <c r="A134" s="5"/>
      <c r="B134" s="125"/>
      <c r="C134" s="125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6"/>
    </row>
    <row r="135" spans="1:27" ht="15" customHeight="1" x14ac:dyDescent="0.25">
      <c r="A135" s="5"/>
      <c r="B135" s="125"/>
      <c r="C135" s="125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6"/>
    </row>
    <row r="136" spans="1:27" x14ac:dyDescent="0.25">
      <c r="A136" s="15"/>
      <c r="S136" s="6"/>
    </row>
    <row r="137" spans="1:27" ht="15" customHeight="1" x14ac:dyDescent="0.25">
      <c r="A137" s="14"/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6"/>
    </row>
    <row r="138" spans="1:27" ht="15" customHeight="1" x14ac:dyDescent="0.25">
      <c r="A138" s="14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6"/>
    </row>
    <row r="139" spans="1:27" ht="15" customHeight="1" x14ac:dyDescent="0.25">
      <c r="A139" s="14"/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6"/>
    </row>
    <row r="140" spans="1:27" ht="15" customHeight="1" x14ac:dyDescent="0.25">
      <c r="A140" s="80"/>
      <c r="B140" s="54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76"/>
    </row>
    <row r="141" spans="1:27" ht="15" customHeight="1" x14ac:dyDescent="0.25">
      <c r="A141" s="80"/>
      <c r="B141" s="54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76"/>
    </row>
    <row r="142" spans="1:27" ht="15" customHeight="1" x14ac:dyDescent="0.25">
      <c r="A142" s="83"/>
      <c r="B142" s="59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78"/>
    </row>
    <row r="143" spans="1:27" x14ac:dyDescent="0.25">
      <c r="G143" s="30"/>
      <c r="AA143" s="2"/>
    </row>
    <row r="144" spans="1:27" ht="15" customHeight="1" x14ac:dyDescent="0.25">
      <c r="G144" s="30"/>
      <c r="AA144" s="2"/>
    </row>
    <row r="145" spans="7:27" x14ac:dyDescent="0.25">
      <c r="G145" s="30"/>
      <c r="AA145" s="2"/>
    </row>
    <row r="146" spans="7:27" x14ac:dyDescent="0.25">
      <c r="G146" s="30"/>
      <c r="AA146" s="2"/>
    </row>
    <row r="147" spans="7:27" x14ac:dyDescent="0.25">
      <c r="G147" s="30"/>
      <c r="AA147" s="2"/>
    </row>
    <row r="148" spans="7:27" x14ac:dyDescent="0.25">
      <c r="G148" s="30"/>
      <c r="AA148" s="2"/>
    </row>
    <row r="149" spans="7:27" x14ac:dyDescent="0.25">
      <c r="G149" s="30"/>
      <c r="AA149" s="2"/>
    </row>
    <row r="150" spans="7:27" x14ac:dyDescent="0.25">
      <c r="G150" s="30"/>
      <c r="AA150" s="2"/>
    </row>
    <row r="151" spans="7:27" x14ac:dyDescent="0.25">
      <c r="G151" s="30"/>
      <c r="AA151" s="2"/>
    </row>
    <row r="152" spans="7:27" x14ac:dyDescent="0.25">
      <c r="G152" s="30"/>
      <c r="AA152" s="2"/>
    </row>
    <row r="153" spans="7:27" x14ac:dyDescent="0.25">
      <c r="G153" s="30"/>
      <c r="AA153" s="2"/>
    </row>
    <row r="154" spans="7:27" x14ac:dyDescent="0.25">
      <c r="G154" s="30"/>
      <c r="AA154" s="2"/>
    </row>
    <row r="155" spans="7:27" x14ac:dyDescent="0.25">
      <c r="G155" s="30"/>
      <c r="AA155" s="2"/>
    </row>
    <row r="156" spans="7:27" x14ac:dyDescent="0.25">
      <c r="G156" s="30"/>
      <c r="AA156" s="2"/>
    </row>
    <row r="157" spans="7:27" x14ac:dyDescent="0.25">
      <c r="G157" s="30"/>
      <c r="AA157" s="2"/>
    </row>
    <row r="158" spans="7:27" x14ac:dyDescent="0.25">
      <c r="G158" s="30"/>
      <c r="AA158" s="2"/>
    </row>
    <row r="159" spans="7:27" x14ac:dyDescent="0.25">
      <c r="G159" s="30"/>
      <c r="AA159" s="2"/>
    </row>
    <row r="160" spans="7:27" x14ac:dyDescent="0.25">
      <c r="G160" s="30"/>
      <c r="AA160" s="2"/>
    </row>
    <row r="161" spans="7:27" x14ac:dyDescent="0.25">
      <c r="G161" s="30"/>
      <c r="AA161" s="2"/>
    </row>
    <row r="162" spans="7:27" x14ac:dyDescent="0.25">
      <c r="G162" s="30"/>
      <c r="AA162" s="2"/>
    </row>
    <row r="163" spans="7:27" x14ac:dyDescent="0.25">
      <c r="G163" s="30"/>
      <c r="AA163" s="2"/>
    </row>
    <row r="164" spans="7:27" x14ac:dyDescent="0.25">
      <c r="G164" s="30"/>
      <c r="AA164" s="2"/>
    </row>
    <row r="165" spans="7:27" x14ac:dyDescent="0.25">
      <c r="G165" s="30"/>
      <c r="AA165" s="2"/>
    </row>
    <row r="166" spans="7:27" x14ac:dyDescent="0.25">
      <c r="G166" s="30"/>
      <c r="AA166" s="2"/>
    </row>
    <row r="167" spans="7:27" x14ac:dyDescent="0.25">
      <c r="G167" s="30"/>
      <c r="AA167" s="2"/>
    </row>
    <row r="168" spans="7:27" x14ac:dyDescent="0.25">
      <c r="G168" s="30"/>
      <c r="AA168" s="2"/>
    </row>
    <row r="169" spans="7:27" x14ac:dyDescent="0.25">
      <c r="G169" s="30"/>
      <c r="AA169" s="2"/>
    </row>
    <row r="170" spans="7:27" x14ac:dyDescent="0.25">
      <c r="G170" s="30"/>
      <c r="AA170" s="2"/>
    </row>
    <row r="171" spans="7:27" x14ac:dyDescent="0.25">
      <c r="G171" s="30"/>
      <c r="AA171" s="2"/>
    </row>
    <row r="172" spans="7:27" x14ac:dyDescent="0.25">
      <c r="G172" s="30"/>
      <c r="AA172" s="2"/>
    </row>
    <row r="173" spans="7:27" x14ac:dyDescent="0.25">
      <c r="G173" s="30"/>
      <c r="AA173" s="2"/>
    </row>
    <row r="174" spans="7:27" x14ac:dyDescent="0.25">
      <c r="G174" s="30"/>
      <c r="AA174" s="2"/>
    </row>
    <row r="175" spans="7:27" x14ac:dyDescent="0.25">
      <c r="G175" s="30"/>
      <c r="AA175" s="2"/>
    </row>
    <row r="176" spans="7:27" x14ac:dyDescent="0.25">
      <c r="G176" s="30"/>
      <c r="AA176" s="2"/>
    </row>
    <row r="177" spans="7:27" x14ac:dyDescent="0.25">
      <c r="G177" s="30"/>
      <c r="AA177" s="2"/>
    </row>
    <row r="178" spans="7:27" x14ac:dyDescent="0.25">
      <c r="G178" s="30"/>
      <c r="AA178" s="2"/>
    </row>
    <row r="179" spans="7:27" x14ac:dyDescent="0.25">
      <c r="G179" s="30"/>
      <c r="AA179" s="2"/>
    </row>
    <row r="180" spans="7:27" x14ac:dyDescent="0.25">
      <c r="G180" s="30"/>
      <c r="AA180" s="2"/>
    </row>
    <row r="181" spans="7:27" x14ac:dyDescent="0.25">
      <c r="G181" s="30"/>
      <c r="AA181" s="2"/>
    </row>
    <row r="182" spans="7:27" ht="15" customHeight="1" x14ac:dyDescent="0.25">
      <c r="G182" s="30"/>
      <c r="AA182" s="2"/>
    </row>
    <row r="183" spans="7:27" ht="15" customHeight="1" x14ac:dyDescent="0.25">
      <c r="G183" s="30"/>
      <c r="AA183" s="2"/>
    </row>
    <row r="184" spans="7:27" ht="15" customHeight="1" x14ac:dyDescent="0.25">
      <c r="G184" s="30"/>
      <c r="AA184" s="2"/>
    </row>
    <row r="185" spans="7:27" ht="15" customHeight="1" x14ac:dyDescent="0.25">
      <c r="G185" s="30"/>
      <c r="AA185" s="2"/>
    </row>
    <row r="186" spans="7:27" ht="15" customHeight="1" x14ac:dyDescent="0.25">
      <c r="G186" s="30"/>
      <c r="AA186" s="2"/>
    </row>
    <row r="187" spans="7:27" ht="15" customHeight="1" x14ac:dyDescent="0.25">
      <c r="G187" s="30"/>
      <c r="AA187" s="2"/>
    </row>
    <row r="188" spans="7:27" x14ac:dyDescent="0.25">
      <c r="G188" s="30"/>
      <c r="AA188" s="2"/>
    </row>
    <row r="189" spans="7:27" ht="15" customHeight="1" x14ac:dyDescent="0.25">
      <c r="G189" s="30"/>
      <c r="AA189" s="2"/>
    </row>
    <row r="190" spans="7:27" x14ac:dyDescent="0.25">
      <c r="G190" s="30"/>
      <c r="AA190" s="2"/>
    </row>
    <row r="191" spans="7:27" x14ac:dyDescent="0.25">
      <c r="G191" s="30"/>
      <c r="AA191" s="2"/>
    </row>
    <row r="192" spans="7:27" x14ac:dyDescent="0.25">
      <c r="G192" s="30"/>
      <c r="AA192" s="2"/>
    </row>
    <row r="193" spans="7:27" x14ac:dyDescent="0.25">
      <c r="G193" s="30"/>
      <c r="AA193" s="2"/>
    </row>
    <row r="194" spans="7:27" x14ac:dyDescent="0.25">
      <c r="G194" s="30"/>
      <c r="AA194" s="2"/>
    </row>
    <row r="195" spans="7:27" x14ac:dyDescent="0.25">
      <c r="G195" s="30"/>
      <c r="AA195" s="2"/>
    </row>
    <row r="196" spans="7:27" x14ac:dyDescent="0.25">
      <c r="G196" s="30"/>
      <c r="AA196" s="2"/>
    </row>
    <row r="197" spans="7:27" x14ac:dyDescent="0.25">
      <c r="G197" s="30"/>
      <c r="AA197" s="2"/>
    </row>
    <row r="198" spans="7:27" x14ac:dyDescent="0.25">
      <c r="G198" s="30"/>
      <c r="AA198" s="2"/>
    </row>
    <row r="199" spans="7:27" x14ac:dyDescent="0.25">
      <c r="G199" s="30"/>
      <c r="AA199" s="2"/>
    </row>
    <row r="200" spans="7:27" x14ac:dyDescent="0.25">
      <c r="G200" s="30"/>
      <c r="AA200" s="2"/>
    </row>
    <row r="201" spans="7:27" x14ac:dyDescent="0.25">
      <c r="G201" s="30"/>
      <c r="AA201" s="2"/>
    </row>
    <row r="202" spans="7:27" x14ac:dyDescent="0.25">
      <c r="G202" s="30"/>
      <c r="AA202" s="2"/>
    </row>
    <row r="203" spans="7:27" x14ac:dyDescent="0.25">
      <c r="G203" s="30"/>
      <c r="AA203" s="2"/>
    </row>
    <row r="204" spans="7:27" x14ac:dyDescent="0.25">
      <c r="G204" s="30"/>
      <c r="AA204" s="2"/>
    </row>
    <row r="205" spans="7:27" x14ac:dyDescent="0.25">
      <c r="G205" s="30"/>
      <c r="AA205" s="2"/>
    </row>
    <row r="206" spans="7:27" x14ac:dyDescent="0.25">
      <c r="G206" s="30"/>
      <c r="AA206" s="2"/>
    </row>
    <row r="207" spans="7:27" x14ac:dyDescent="0.25">
      <c r="G207" s="30"/>
      <c r="AA207" s="2"/>
    </row>
    <row r="208" spans="7:27" x14ac:dyDescent="0.25">
      <c r="G208" s="30"/>
      <c r="AA208" s="2"/>
    </row>
    <row r="209" spans="7:27" x14ac:dyDescent="0.25">
      <c r="G209" s="30"/>
      <c r="AA209" s="2"/>
    </row>
    <row r="210" spans="7:27" x14ac:dyDescent="0.25">
      <c r="G210" s="30"/>
      <c r="AA210" s="2"/>
    </row>
    <row r="211" spans="7:27" x14ac:dyDescent="0.25">
      <c r="G211" s="30"/>
      <c r="AA211" s="2"/>
    </row>
    <row r="212" spans="7:27" x14ac:dyDescent="0.25">
      <c r="G212" s="30"/>
      <c r="AA212" s="2"/>
    </row>
    <row r="213" spans="7:27" x14ac:dyDescent="0.25">
      <c r="G213" s="30"/>
      <c r="AA213" s="2"/>
    </row>
    <row r="214" spans="7:27" x14ac:dyDescent="0.25">
      <c r="G214" s="30"/>
      <c r="AA214" s="2"/>
    </row>
    <row r="215" spans="7:27" x14ac:dyDescent="0.25">
      <c r="G215" s="30"/>
      <c r="AA215" s="2"/>
    </row>
    <row r="216" spans="7:27" x14ac:dyDescent="0.25">
      <c r="G216" s="30"/>
      <c r="AA216" s="2"/>
    </row>
    <row r="217" spans="7:27" x14ac:dyDescent="0.25">
      <c r="G217" s="30"/>
      <c r="AA217" s="2"/>
    </row>
    <row r="218" spans="7:27" x14ac:dyDescent="0.25">
      <c r="G218" s="30"/>
      <c r="AA218" s="2"/>
    </row>
    <row r="219" spans="7:27" x14ac:dyDescent="0.25">
      <c r="G219" s="30"/>
      <c r="AA219" s="2"/>
    </row>
    <row r="220" spans="7:27" x14ac:dyDescent="0.25">
      <c r="G220" s="30"/>
      <c r="AA220" s="2"/>
    </row>
    <row r="221" spans="7:27" x14ac:dyDescent="0.25">
      <c r="G221" s="30"/>
      <c r="AA221" s="2"/>
    </row>
    <row r="222" spans="7:27" x14ac:dyDescent="0.25">
      <c r="G222" s="30"/>
      <c r="AA222" s="2"/>
    </row>
    <row r="223" spans="7:27" x14ac:dyDescent="0.25">
      <c r="G223" s="30"/>
      <c r="AA223" s="2"/>
    </row>
    <row r="224" spans="7:27" x14ac:dyDescent="0.25">
      <c r="G224" s="30"/>
      <c r="AA224" s="2"/>
    </row>
    <row r="225" spans="7:27" x14ac:dyDescent="0.25">
      <c r="G225" s="30"/>
      <c r="AA225" s="2"/>
    </row>
    <row r="226" spans="7:27" x14ac:dyDescent="0.25">
      <c r="G226" s="30"/>
      <c r="AA226" s="2"/>
    </row>
    <row r="227" spans="7:27" ht="15" customHeight="1" x14ac:dyDescent="0.25">
      <c r="G227" s="30"/>
      <c r="AA227" s="2"/>
    </row>
    <row r="228" spans="7:27" ht="15" customHeight="1" x14ac:dyDescent="0.25">
      <c r="G228" s="30"/>
      <c r="AA228" s="2"/>
    </row>
    <row r="229" spans="7:27" ht="15" customHeight="1" x14ac:dyDescent="0.25">
      <c r="G229" s="30"/>
      <c r="AA229" s="2"/>
    </row>
    <row r="230" spans="7:27" ht="15" customHeight="1" x14ac:dyDescent="0.25">
      <c r="G230" s="30"/>
      <c r="AA230" s="2"/>
    </row>
    <row r="231" spans="7:27" ht="15" customHeight="1" x14ac:dyDescent="0.25">
      <c r="G231" s="30"/>
      <c r="AA231" s="2"/>
    </row>
    <row r="232" spans="7:27" ht="15" customHeight="1" x14ac:dyDescent="0.25">
      <c r="G232" s="30"/>
      <c r="AA232" s="2"/>
    </row>
    <row r="233" spans="7:27" x14ac:dyDescent="0.25">
      <c r="G233" s="30"/>
      <c r="AA233" s="2"/>
    </row>
    <row r="234" spans="7:27" ht="15" customHeight="1" x14ac:dyDescent="0.25">
      <c r="G234" s="30"/>
      <c r="AA234" s="2"/>
    </row>
    <row r="235" spans="7:27" x14ac:dyDescent="0.25">
      <c r="G235" s="30"/>
      <c r="AA235" s="2"/>
    </row>
    <row r="236" spans="7:27" x14ac:dyDescent="0.25">
      <c r="G236" s="30"/>
      <c r="AA236" s="2"/>
    </row>
    <row r="237" spans="7:27" x14ac:dyDescent="0.25">
      <c r="G237" s="30"/>
      <c r="AA237" s="2"/>
    </row>
    <row r="238" spans="7:27" x14ac:dyDescent="0.25">
      <c r="G238" s="30"/>
      <c r="AA238" s="2"/>
    </row>
    <row r="239" spans="7:27" x14ac:dyDescent="0.25">
      <c r="G239" s="30"/>
      <c r="AA239" s="2"/>
    </row>
    <row r="240" spans="7:27" x14ac:dyDescent="0.25">
      <c r="G240" s="30"/>
      <c r="AA240" s="2"/>
    </row>
    <row r="241" spans="7:27" x14ac:dyDescent="0.25">
      <c r="G241" s="30"/>
      <c r="AA241" s="2"/>
    </row>
    <row r="242" spans="7:27" x14ac:dyDescent="0.25">
      <c r="G242" s="30"/>
      <c r="AA242" s="2"/>
    </row>
    <row r="243" spans="7:27" x14ac:dyDescent="0.25">
      <c r="G243" s="30"/>
      <c r="AA243" s="2"/>
    </row>
    <row r="244" spans="7:27" x14ac:dyDescent="0.25">
      <c r="G244" s="30"/>
      <c r="AA244" s="2"/>
    </row>
    <row r="245" spans="7:27" x14ac:dyDescent="0.25">
      <c r="G245" s="30"/>
      <c r="AA245" s="2"/>
    </row>
    <row r="246" spans="7:27" x14ac:dyDescent="0.25">
      <c r="G246" s="30"/>
      <c r="AA246" s="2"/>
    </row>
    <row r="247" spans="7:27" x14ac:dyDescent="0.25">
      <c r="G247" s="30"/>
      <c r="AA247" s="2"/>
    </row>
    <row r="248" spans="7:27" x14ac:dyDescent="0.25">
      <c r="G248" s="30"/>
      <c r="AA248" s="2"/>
    </row>
    <row r="249" spans="7:27" x14ac:dyDescent="0.25">
      <c r="G249" s="30"/>
      <c r="AA249" s="2"/>
    </row>
    <row r="250" spans="7:27" x14ac:dyDescent="0.25">
      <c r="G250" s="30"/>
      <c r="AA250" s="2"/>
    </row>
    <row r="251" spans="7:27" x14ac:dyDescent="0.25">
      <c r="G251" s="30"/>
      <c r="AA251" s="2"/>
    </row>
    <row r="252" spans="7:27" x14ac:dyDescent="0.25">
      <c r="G252" s="30"/>
      <c r="AA252" s="2"/>
    </row>
    <row r="253" spans="7:27" x14ac:dyDescent="0.25">
      <c r="G253" s="30"/>
      <c r="AA253" s="2"/>
    </row>
    <row r="254" spans="7:27" x14ac:dyDescent="0.25">
      <c r="G254" s="30"/>
      <c r="AA254" s="2"/>
    </row>
    <row r="255" spans="7:27" x14ac:dyDescent="0.25">
      <c r="G255" s="30"/>
      <c r="AA255" s="2"/>
    </row>
    <row r="256" spans="7:27" x14ac:dyDescent="0.25">
      <c r="G256" s="30"/>
      <c r="AA256" s="2"/>
    </row>
    <row r="257" spans="7:27" x14ac:dyDescent="0.25">
      <c r="G257" s="30"/>
      <c r="AA257" s="2"/>
    </row>
    <row r="258" spans="7:27" x14ac:dyDescent="0.25">
      <c r="G258" s="30"/>
      <c r="AA258" s="2"/>
    </row>
    <row r="259" spans="7:27" x14ac:dyDescent="0.25">
      <c r="G259" s="30"/>
      <c r="AA259" s="2"/>
    </row>
    <row r="260" spans="7:27" x14ac:dyDescent="0.25">
      <c r="G260" s="30"/>
      <c r="AA260" s="2"/>
    </row>
    <row r="261" spans="7:27" x14ac:dyDescent="0.25">
      <c r="G261" s="30"/>
      <c r="AA261" s="2"/>
    </row>
    <row r="262" spans="7:27" x14ac:dyDescent="0.25">
      <c r="G262" s="30"/>
      <c r="AA262" s="2"/>
    </row>
    <row r="263" spans="7:27" x14ac:dyDescent="0.25">
      <c r="G263" s="30"/>
      <c r="AA263" s="2"/>
    </row>
    <row r="264" spans="7:27" x14ac:dyDescent="0.25">
      <c r="G264" s="30"/>
      <c r="AA264" s="2"/>
    </row>
    <row r="265" spans="7:27" x14ac:dyDescent="0.25">
      <c r="G265" s="30"/>
      <c r="AA265" s="2"/>
    </row>
    <row r="266" spans="7:27" x14ac:dyDescent="0.25">
      <c r="G266" s="30"/>
      <c r="AA266" s="2"/>
    </row>
    <row r="267" spans="7:27" x14ac:dyDescent="0.25">
      <c r="G267" s="30"/>
      <c r="AA267" s="2"/>
    </row>
    <row r="268" spans="7:27" x14ac:dyDescent="0.25">
      <c r="G268" s="30"/>
      <c r="AA268" s="2"/>
    </row>
    <row r="269" spans="7:27" x14ac:dyDescent="0.25">
      <c r="G269" s="30"/>
      <c r="AA269" s="2"/>
    </row>
    <row r="270" spans="7:27" x14ac:dyDescent="0.25">
      <c r="G270" s="30"/>
      <c r="AA270" s="2"/>
    </row>
    <row r="271" spans="7:27" x14ac:dyDescent="0.25">
      <c r="G271" s="30"/>
      <c r="AA271" s="2"/>
    </row>
    <row r="272" spans="7:27" x14ac:dyDescent="0.25">
      <c r="G272" s="30"/>
      <c r="AA272" s="2"/>
    </row>
    <row r="273" spans="7:27" x14ac:dyDescent="0.25">
      <c r="G273" s="30"/>
      <c r="AA273" s="2"/>
    </row>
  </sheetData>
  <mergeCells count="12">
    <mergeCell ref="B11:R49"/>
    <mergeCell ref="A54:A92"/>
    <mergeCell ref="B54:R92"/>
    <mergeCell ref="B97:R135"/>
    <mergeCell ref="A99:A131"/>
    <mergeCell ref="E1:O3"/>
    <mergeCell ref="E4:E5"/>
    <mergeCell ref="F4:O5"/>
    <mergeCell ref="E6:E7"/>
    <mergeCell ref="F6:O7"/>
    <mergeCell ref="E8:E9"/>
    <mergeCell ref="F8:O9"/>
  </mergeCells>
  <pageMargins left="0.19685039370078741" right="0.19685039370078741" top="0.19685039370078741" bottom="0.19685039370078741" header="0" footer="0.35433070866141736"/>
  <pageSetup paperSize="9" scale="39" fitToHeight="3" orientation="portrait" horizontalDpi="1200" verticalDpi="1200" r:id="rId1"/>
  <headerFooter alignWithMargins="0">
    <oddFooter xml:space="preserve">&amp;C&amp;18Tooshop | M. Santos | &amp;D&amp;R&amp;18Página &amp;P de &amp;N         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D273"/>
  <sheetViews>
    <sheetView view="pageBreakPreview" zoomScale="37" zoomScaleNormal="70" zoomScaleSheetLayoutView="37" workbookViewId="0">
      <selection activeCell="T57" sqref="T57"/>
    </sheetView>
  </sheetViews>
  <sheetFormatPr defaultRowHeight="15" x14ac:dyDescent="0.25"/>
  <cols>
    <col min="1" max="1" width="4.7109375" style="2" customWidth="1"/>
    <col min="2" max="2" width="9.140625" style="2"/>
    <col min="3" max="4" width="15.7109375" style="2" customWidth="1"/>
    <col min="5" max="5" width="30.7109375" style="2" customWidth="1"/>
    <col min="6" max="6" width="18.7109375" style="2" customWidth="1"/>
    <col min="7" max="13" width="9.140625" style="2"/>
    <col min="14" max="14" width="25.7109375" style="2" customWidth="1"/>
    <col min="15" max="15" width="30.7109375" style="2" customWidth="1"/>
    <col min="16" max="17" width="15.7109375" style="2" customWidth="1"/>
    <col min="18" max="18" width="9.140625" style="2" customWidth="1"/>
    <col min="19" max="19" width="4.5703125" style="2" customWidth="1"/>
    <col min="20" max="20" width="50.140625" style="2" customWidth="1"/>
    <col min="21" max="21" width="6.85546875" style="2" customWidth="1"/>
    <col min="22" max="22" width="6.5703125" style="2" customWidth="1"/>
    <col min="23" max="23" width="6.7109375" style="2" customWidth="1"/>
    <col min="24" max="24" width="7.28515625" style="2" customWidth="1"/>
    <col min="25" max="25" width="9.140625" style="2"/>
    <col min="26" max="26" width="39" style="2" bestFit="1" customWidth="1"/>
    <col min="27" max="27" width="13.5703125" style="30" bestFit="1" customWidth="1"/>
    <col min="28" max="28" width="10.42578125" style="2" bestFit="1" customWidth="1"/>
    <col min="29" max="29" width="19.42578125" style="2" bestFit="1" customWidth="1"/>
    <col min="30" max="30" width="5.42578125" style="2" bestFit="1" customWidth="1"/>
    <col min="31" max="16384" width="9.140625" style="2"/>
  </cols>
  <sheetData>
    <row r="1" spans="1:30" ht="15" customHeight="1" x14ac:dyDescent="0.25">
      <c r="A1" s="13"/>
      <c r="B1" s="3"/>
      <c r="C1" s="3"/>
      <c r="D1" s="3"/>
      <c r="E1" s="116" t="s">
        <v>3</v>
      </c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3"/>
      <c r="Q1" s="3"/>
      <c r="R1" s="3"/>
      <c r="S1" s="4"/>
      <c r="T1" s="10"/>
      <c r="Z1" s="49" t="s">
        <v>4</v>
      </c>
      <c r="AA1" s="88"/>
      <c r="AB1" s="102"/>
      <c r="AC1" s="103"/>
      <c r="AD1" s="104"/>
    </row>
    <row r="2" spans="1:30" ht="15" customHeight="1" x14ac:dyDescent="0.25">
      <c r="A2" s="14"/>
      <c r="B2" s="56"/>
      <c r="C2" s="56"/>
      <c r="D2" s="56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58"/>
      <c r="Q2" s="56"/>
      <c r="R2" s="56"/>
      <c r="S2" s="6"/>
      <c r="Z2" s="50" t="s">
        <v>477</v>
      </c>
      <c r="AA2" s="89">
        <v>4</v>
      </c>
      <c r="AB2" s="95"/>
      <c r="AC2" s="95"/>
      <c r="AD2" s="105"/>
    </row>
    <row r="3" spans="1:30" ht="15" customHeight="1" x14ac:dyDescent="0.25">
      <c r="A3" s="14"/>
      <c r="B3" s="56"/>
      <c r="C3" s="56"/>
      <c r="D3" s="56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58"/>
      <c r="Q3" s="56"/>
      <c r="R3" s="56"/>
      <c r="S3" s="6"/>
      <c r="Z3" s="50" t="s">
        <v>476</v>
      </c>
      <c r="AA3" s="89">
        <v>7</v>
      </c>
      <c r="AB3" s="95"/>
      <c r="AC3" s="95"/>
      <c r="AD3" s="105"/>
    </row>
    <row r="4" spans="1:30" ht="15" customHeight="1" x14ac:dyDescent="0.25">
      <c r="A4" s="14"/>
      <c r="B4" s="56"/>
      <c r="C4" s="56"/>
      <c r="D4" s="56"/>
      <c r="E4" s="129" t="str">
        <f>"Projeto: "</f>
        <v xml:space="preserve">Projeto: </v>
      </c>
      <c r="F4" s="131" t="str">
        <f>T7</f>
        <v>VW276_EU</v>
      </c>
      <c r="G4" s="131"/>
      <c r="H4" s="131"/>
      <c r="I4" s="131"/>
      <c r="J4" s="131"/>
      <c r="K4" s="131"/>
      <c r="L4" s="131"/>
      <c r="M4" s="131"/>
      <c r="N4" s="131"/>
      <c r="O4" s="132"/>
      <c r="P4" s="58"/>
      <c r="Q4" s="56"/>
      <c r="R4" s="56"/>
      <c r="S4" s="6"/>
      <c r="Z4" s="50" t="s">
        <v>218</v>
      </c>
      <c r="AA4" s="89"/>
      <c r="AB4" s="95"/>
      <c r="AC4" s="95"/>
      <c r="AD4" s="105"/>
    </row>
    <row r="5" spans="1:30" ht="15" customHeight="1" x14ac:dyDescent="0.25">
      <c r="A5" s="80"/>
      <c r="B5" s="54"/>
      <c r="C5" s="55"/>
      <c r="D5" s="55"/>
      <c r="E5" s="130"/>
      <c r="F5" s="133"/>
      <c r="G5" s="133"/>
      <c r="H5" s="133"/>
      <c r="I5" s="133"/>
      <c r="J5" s="133"/>
      <c r="K5" s="133"/>
      <c r="L5" s="133"/>
      <c r="M5" s="133"/>
      <c r="N5" s="133"/>
      <c r="O5" s="134"/>
      <c r="P5" s="58"/>
      <c r="Q5" s="55"/>
      <c r="R5" s="55"/>
      <c r="S5" s="6"/>
      <c r="Z5" s="50" t="s">
        <v>475</v>
      </c>
      <c r="AA5" s="89">
        <v>2</v>
      </c>
      <c r="AB5" s="95"/>
      <c r="AC5" s="95"/>
      <c r="AD5" s="105"/>
    </row>
    <row r="6" spans="1:30" ht="15" customHeight="1" x14ac:dyDescent="0.25">
      <c r="A6" s="80"/>
      <c r="B6" s="54"/>
      <c r="C6" s="55"/>
      <c r="D6" s="55"/>
      <c r="E6" s="135" t="str">
        <f>"Peça: "</f>
        <v xml:space="preserve">Peça: </v>
      </c>
      <c r="F6" s="136" t="str">
        <f>T8</f>
        <v>2GA.823.105</v>
      </c>
      <c r="G6" s="136"/>
      <c r="H6" s="136"/>
      <c r="I6" s="136"/>
      <c r="J6" s="136"/>
      <c r="K6" s="136"/>
      <c r="L6" s="136"/>
      <c r="M6" s="136"/>
      <c r="N6" s="136"/>
      <c r="O6" s="137"/>
      <c r="P6" s="58"/>
      <c r="Q6" s="55"/>
      <c r="R6" s="55"/>
      <c r="S6" s="6"/>
      <c r="T6" s="17" t="s">
        <v>162</v>
      </c>
      <c r="Z6" s="50" t="s">
        <v>249</v>
      </c>
      <c r="AA6" s="89"/>
      <c r="AB6" s="95"/>
      <c r="AC6" s="95"/>
      <c r="AD6" s="105"/>
    </row>
    <row r="7" spans="1:30" ht="15" customHeight="1" x14ac:dyDescent="0.25">
      <c r="A7" s="80"/>
      <c r="B7" s="54"/>
      <c r="C7" s="55"/>
      <c r="D7" s="55"/>
      <c r="E7" s="130"/>
      <c r="F7" s="133"/>
      <c r="G7" s="133"/>
      <c r="H7" s="133"/>
      <c r="I7" s="133"/>
      <c r="J7" s="133"/>
      <c r="K7" s="133"/>
      <c r="L7" s="133"/>
      <c r="M7" s="133"/>
      <c r="N7" s="133"/>
      <c r="O7" s="134"/>
      <c r="P7" s="55"/>
      <c r="Q7" s="55"/>
      <c r="R7" s="55"/>
      <c r="S7" s="6"/>
      <c r="T7" s="53" t="s">
        <v>79</v>
      </c>
      <c r="Z7" s="50" t="s">
        <v>2</v>
      </c>
      <c r="AA7" s="89">
        <f>SUM(AA2:AA6)</f>
        <v>13</v>
      </c>
      <c r="AB7" s="95">
        <f>SUM(AB2:AB6)</f>
        <v>0</v>
      </c>
      <c r="AC7" s="95"/>
      <c r="AD7" s="105"/>
    </row>
    <row r="8" spans="1:30" ht="15" customHeight="1" x14ac:dyDescent="0.25">
      <c r="A8" s="15"/>
      <c r="E8" s="135" t="str">
        <f>"Ano: "</f>
        <v xml:space="preserve">Ano: </v>
      </c>
      <c r="F8" s="136">
        <f>T9</f>
        <v>2017</v>
      </c>
      <c r="G8" s="136"/>
      <c r="H8" s="136"/>
      <c r="I8" s="136"/>
      <c r="J8" s="136"/>
      <c r="K8" s="136"/>
      <c r="L8" s="136"/>
      <c r="M8" s="136"/>
      <c r="N8" s="136"/>
      <c r="O8" s="137"/>
      <c r="S8" s="6"/>
      <c r="T8" s="2" t="s">
        <v>114</v>
      </c>
      <c r="Z8" s="48" t="s">
        <v>5</v>
      </c>
      <c r="AA8" s="90"/>
      <c r="AB8" s="106"/>
      <c r="AC8" s="106"/>
      <c r="AD8" s="107"/>
    </row>
    <row r="9" spans="1:30" ht="15" customHeight="1" x14ac:dyDescent="0.25">
      <c r="A9" s="81"/>
      <c r="B9" s="57"/>
      <c r="C9" s="57"/>
      <c r="D9" s="57"/>
      <c r="E9" s="130"/>
      <c r="F9" s="133"/>
      <c r="G9" s="133"/>
      <c r="H9" s="133"/>
      <c r="I9" s="133"/>
      <c r="J9" s="133"/>
      <c r="K9" s="133"/>
      <c r="L9" s="133"/>
      <c r="M9" s="133"/>
      <c r="N9" s="133"/>
      <c r="O9" s="134"/>
      <c r="P9" s="57"/>
      <c r="Q9" s="57"/>
      <c r="R9" s="57"/>
      <c r="S9" s="6"/>
      <c r="T9" s="2">
        <v>2017</v>
      </c>
      <c r="Z9" s="44" t="s">
        <v>8</v>
      </c>
      <c r="AA9" s="91"/>
      <c r="AB9" s="108"/>
      <c r="AC9" s="108"/>
      <c r="AD9" s="109"/>
    </row>
    <row r="10" spans="1:30" x14ac:dyDescent="0.25">
      <c r="A10" s="81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6"/>
      <c r="Z10" s="44" t="s">
        <v>7</v>
      </c>
      <c r="AA10" s="91"/>
      <c r="AB10" s="108"/>
      <c r="AC10" s="108"/>
      <c r="AD10" s="109"/>
    </row>
    <row r="11" spans="1:30" ht="15" customHeight="1" x14ac:dyDescent="0.25">
      <c r="A11" s="81"/>
      <c r="B11" s="118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6"/>
      <c r="Z11" s="44" t="s">
        <v>41</v>
      </c>
      <c r="AA11" s="91"/>
      <c r="AB11" s="108"/>
      <c r="AC11" s="108"/>
      <c r="AD11" s="109"/>
    </row>
    <row r="12" spans="1:30" ht="15" customHeight="1" x14ac:dyDescent="0.25">
      <c r="A12" s="81"/>
      <c r="B12" s="118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6"/>
      <c r="Z12" s="44" t="s">
        <v>40</v>
      </c>
      <c r="AA12" s="91"/>
      <c r="AB12" s="108"/>
      <c r="AC12" s="108"/>
      <c r="AD12" s="109"/>
    </row>
    <row r="13" spans="1:30" ht="15" customHeight="1" x14ac:dyDescent="0.25">
      <c r="A13" s="81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6"/>
      <c r="T13" s="12"/>
      <c r="Z13" s="44" t="s">
        <v>1</v>
      </c>
      <c r="AA13" s="91"/>
      <c r="AB13" s="108"/>
      <c r="AC13" s="108"/>
      <c r="AD13" s="109"/>
    </row>
    <row r="14" spans="1:30" ht="15" customHeight="1" x14ac:dyDescent="0.25">
      <c r="A14" s="81"/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6"/>
      <c r="T14" s="11"/>
      <c r="Z14" s="96" t="s">
        <v>356</v>
      </c>
      <c r="AA14" s="94"/>
      <c r="AB14" s="110"/>
      <c r="AC14" s="110"/>
      <c r="AD14" s="111"/>
    </row>
    <row r="15" spans="1:30" ht="15" customHeight="1" x14ac:dyDescent="0.25">
      <c r="A15" s="81"/>
      <c r="B15" s="118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6"/>
      <c r="Z15" s="45" t="s">
        <v>353</v>
      </c>
      <c r="AA15" s="98"/>
      <c r="AB15" s="99"/>
      <c r="AC15" s="100"/>
      <c r="AD15" s="101"/>
    </row>
    <row r="16" spans="1:30" ht="15" customHeight="1" x14ac:dyDescent="0.25">
      <c r="A16" s="81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6"/>
      <c r="Z16" s="45" t="s">
        <v>185</v>
      </c>
      <c r="AA16" s="98"/>
      <c r="AB16" s="99"/>
      <c r="AC16" s="100"/>
      <c r="AD16" s="101">
        <v>2</v>
      </c>
    </row>
    <row r="17" spans="1:30" x14ac:dyDescent="0.25">
      <c r="A17" s="81"/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6"/>
      <c r="Z17" s="45" t="s">
        <v>210</v>
      </c>
      <c r="AA17" s="98"/>
      <c r="AB17" s="99"/>
      <c r="AC17" s="100"/>
      <c r="AD17" s="101"/>
    </row>
    <row r="18" spans="1:30" x14ac:dyDescent="0.25">
      <c r="A18" s="81"/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6"/>
      <c r="Z18" s="45" t="s">
        <v>354</v>
      </c>
      <c r="AA18" s="98"/>
      <c r="AB18" s="99"/>
      <c r="AC18" s="100"/>
      <c r="AD18" s="101"/>
    </row>
    <row r="19" spans="1:30" x14ac:dyDescent="0.25">
      <c r="A19" s="81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6"/>
      <c r="Z19" s="45" t="s">
        <v>46</v>
      </c>
      <c r="AA19" s="98"/>
      <c r="AB19" s="99"/>
      <c r="AC19" s="100"/>
      <c r="AD19" s="101">
        <v>2</v>
      </c>
    </row>
    <row r="20" spans="1:30" x14ac:dyDescent="0.25">
      <c r="A20" s="81"/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6"/>
      <c r="Z20" s="45" t="s">
        <v>204</v>
      </c>
      <c r="AA20" s="98"/>
      <c r="AB20" s="99"/>
      <c r="AC20" s="100"/>
      <c r="AD20" s="101"/>
    </row>
    <row r="21" spans="1:30" x14ac:dyDescent="0.25">
      <c r="A21" s="81"/>
      <c r="B21" s="118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6"/>
      <c r="Z21" s="45" t="s">
        <v>143</v>
      </c>
      <c r="AA21" s="98"/>
      <c r="AB21" s="99"/>
      <c r="AC21" s="100"/>
      <c r="AD21" s="101"/>
    </row>
    <row r="22" spans="1:30" x14ac:dyDescent="0.25">
      <c r="A22" s="81"/>
      <c r="B22" s="118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6"/>
      <c r="Z22" s="45" t="s">
        <v>147</v>
      </c>
      <c r="AA22" s="98"/>
      <c r="AB22" s="99"/>
      <c r="AC22" s="100"/>
      <c r="AD22" s="101">
        <v>2</v>
      </c>
    </row>
    <row r="23" spans="1:30" x14ac:dyDescent="0.25">
      <c r="A23" s="81"/>
      <c r="B23" s="118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6"/>
      <c r="Z23" s="45" t="s">
        <v>57</v>
      </c>
      <c r="AA23" s="98"/>
      <c r="AB23" s="99"/>
      <c r="AC23" s="100"/>
      <c r="AD23" s="101">
        <v>3</v>
      </c>
    </row>
    <row r="24" spans="1:30" x14ac:dyDescent="0.25">
      <c r="A24" s="81"/>
      <c r="B24" s="11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6"/>
      <c r="Z24" s="46" t="s">
        <v>52</v>
      </c>
      <c r="AA24" s="98"/>
      <c r="AB24" s="99"/>
      <c r="AC24" s="100"/>
      <c r="AD24" s="101">
        <v>3</v>
      </c>
    </row>
    <row r="25" spans="1:30" x14ac:dyDescent="0.25">
      <c r="A25" s="81"/>
      <c r="B25" s="118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6"/>
      <c r="Z25" s="46"/>
      <c r="AA25" s="98"/>
      <c r="AB25" s="99"/>
      <c r="AC25" s="100"/>
      <c r="AD25" s="101"/>
    </row>
    <row r="26" spans="1:30" x14ac:dyDescent="0.25">
      <c r="A26" s="81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6"/>
      <c r="Z26" s="46"/>
      <c r="AA26" s="92"/>
      <c r="AB26" s="100"/>
      <c r="AC26" s="100"/>
      <c r="AD26" s="101"/>
    </row>
    <row r="27" spans="1:30" x14ac:dyDescent="0.25">
      <c r="A27" s="81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6"/>
      <c r="Z27" s="46"/>
      <c r="AA27" s="92"/>
      <c r="AB27" s="100"/>
      <c r="AC27" s="100"/>
      <c r="AD27" s="101"/>
    </row>
    <row r="28" spans="1:30" x14ac:dyDescent="0.25">
      <c r="A28" s="81"/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6"/>
      <c r="Z28" s="97"/>
      <c r="AA28" s="92" t="s">
        <v>8</v>
      </c>
      <c r="AB28" s="100" t="s">
        <v>7</v>
      </c>
      <c r="AC28" s="100" t="s">
        <v>41</v>
      </c>
      <c r="AD28" s="101" t="s">
        <v>479</v>
      </c>
    </row>
    <row r="29" spans="1:30" x14ac:dyDescent="0.25">
      <c r="A29" s="81"/>
      <c r="B29" s="118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6"/>
      <c r="Z29" s="46"/>
      <c r="AA29" s="92"/>
      <c r="AB29" s="100"/>
      <c r="AC29" s="100"/>
      <c r="AD29" s="101"/>
    </row>
    <row r="30" spans="1:30" x14ac:dyDescent="0.25">
      <c r="A30" s="81"/>
      <c r="B30" s="118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6"/>
      <c r="Z30" s="46"/>
      <c r="AA30" s="92"/>
      <c r="AB30" s="100"/>
      <c r="AC30" s="100"/>
      <c r="AD30" s="101"/>
    </row>
    <row r="31" spans="1:30" x14ac:dyDescent="0.25">
      <c r="A31" s="81"/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6"/>
      <c r="Z31" s="46"/>
      <c r="AA31" s="92"/>
      <c r="AB31" s="100"/>
      <c r="AC31" s="100"/>
      <c r="AD31" s="101"/>
    </row>
    <row r="32" spans="1:30" x14ac:dyDescent="0.25">
      <c r="A32" s="81"/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6"/>
      <c r="Z32" s="46"/>
      <c r="AA32" s="92"/>
      <c r="AB32" s="100"/>
      <c r="AC32" s="100"/>
      <c r="AD32" s="101"/>
    </row>
    <row r="33" spans="1:30" x14ac:dyDescent="0.25">
      <c r="A33" s="81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6"/>
      <c r="Z33" s="46"/>
      <c r="AA33" s="92"/>
      <c r="AB33" s="100"/>
      <c r="AC33" s="100"/>
      <c r="AD33" s="101"/>
    </row>
    <row r="34" spans="1:30" x14ac:dyDescent="0.25">
      <c r="A34" s="81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6"/>
      <c r="Z34" s="97"/>
      <c r="AA34" s="92"/>
      <c r="AB34" s="100"/>
      <c r="AC34" s="100"/>
      <c r="AD34" s="101"/>
    </row>
    <row r="35" spans="1:30" x14ac:dyDescent="0.25">
      <c r="A35" s="81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6"/>
      <c r="Z35" s="46"/>
      <c r="AA35" s="92"/>
      <c r="AB35" s="100"/>
      <c r="AC35" s="100"/>
      <c r="AD35" s="101"/>
    </row>
    <row r="36" spans="1:30" x14ac:dyDescent="0.25">
      <c r="A36" s="81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6"/>
      <c r="Z36" s="46"/>
      <c r="AA36" s="92"/>
      <c r="AB36" s="100"/>
      <c r="AC36" s="100"/>
      <c r="AD36" s="101"/>
    </row>
    <row r="37" spans="1:30" x14ac:dyDescent="0.25">
      <c r="A37" s="81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6"/>
      <c r="Z37" s="46"/>
      <c r="AA37" s="92"/>
      <c r="AB37" s="100"/>
      <c r="AC37" s="100"/>
      <c r="AD37" s="101"/>
    </row>
    <row r="38" spans="1:30" x14ac:dyDescent="0.25">
      <c r="A38" s="81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6"/>
      <c r="Z38" s="46"/>
      <c r="AA38" s="92"/>
      <c r="AB38" s="100"/>
      <c r="AC38" s="100"/>
      <c r="AD38" s="101"/>
    </row>
    <row r="39" spans="1:30" ht="15.75" thickBot="1" x14ac:dyDescent="0.3">
      <c r="A39" s="81"/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6"/>
      <c r="Z39" s="47"/>
      <c r="AA39" s="93"/>
      <c r="AB39" s="112"/>
      <c r="AC39" s="112"/>
      <c r="AD39" s="113"/>
    </row>
    <row r="40" spans="1:30" x14ac:dyDescent="0.25">
      <c r="A40" s="81"/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6"/>
    </row>
    <row r="41" spans="1:30" x14ac:dyDescent="0.25">
      <c r="A41" s="81"/>
      <c r="B41" s="118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6"/>
    </row>
    <row r="42" spans="1:30" x14ac:dyDescent="0.25">
      <c r="A42" s="5"/>
      <c r="B42" s="118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6"/>
    </row>
    <row r="43" spans="1:30" x14ac:dyDescent="0.25">
      <c r="A43" s="5"/>
      <c r="B43" s="118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6"/>
    </row>
    <row r="44" spans="1:30" x14ac:dyDescent="0.25">
      <c r="A44" s="5"/>
      <c r="B44" s="118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6"/>
    </row>
    <row r="45" spans="1:30" x14ac:dyDescent="0.25">
      <c r="A45" s="5"/>
      <c r="B45" s="118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8"/>
      <c r="Q45" s="118"/>
      <c r="R45" s="118"/>
      <c r="S45" s="6"/>
    </row>
    <row r="46" spans="1:30" x14ac:dyDescent="0.25">
      <c r="A46" s="15"/>
      <c r="B46" s="118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6"/>
    </row>
    <row r="47" spans="1:30" ht="15" customHeight="1" x14ac:dyDescent="0.25">
      <c r="A47" s="14"/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6"/>
    </row>
    <row r="48" spans="1:30" ht="15" customHeight="1" x14ac:dyDescent="0.25">
      <c r="A48" s="14"/>
      <c r="B48" s="118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6"/>
    </row>
    <row r="49" spans="1:19" ht="15" customHeight="1" x14ac:dyDescent="0.25">
      <c r="A49" s="14"/>
      <c r="B49" s="118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6"/>
    </row>
    <row r="50" spans="1:19" ht="15" customHeight="1" x14ac:dyDescent="0.25">
      <c r="A50" s="80"/>
      <c r="B50" s="54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6"/>
    </row>
    <row r="51" spans="1:19" ht="15" customHeight="1" x14ac:dyDescent="0.25">
      <c r="A51" s="80"/>
      <c r="B51" s="59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"/>
    </row>
    <row r="52" spans="1:19" ht="15" customHeight="1" x14ac:dyDescent="0.25">
      <c r="A52" s="80"/>
      <c r="B52" s="54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6"/>
    </row>
    <row r="53" spans="1:19" x14ac:dyDescent="0.25">
      <c r="A53" s="15"/>
      <c r="S53" s="6"/>
    </row>
    <row r="54" spans="1:19" ht="15" customHeight="1" x14ac:dyDescent="0.25">
      <c r="A54" s="127" t="s">
        <v>163</v>
      </c>
      <c r="B54" s="118"/>
      <c r="C54" s="118"/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6"/>
    </row>
    <row r="55" spans="1:19" x14ac:dyDescent="0.25">
      <c r="A55" s="127"/>
      <c r="B55" s="118"/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6"/>
    </row>
    <row r="56" spans="1:19" x14ac:dyDescent="0.25">
      <c r="A56" s="127"/>
      <c r="B56" s="118"/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6"/>
    </row>
    <row r="57" spans="1:19" x14ac:dyDescent="0.25">
      <c r="A57" s="127"/>
      <c r="B57" s="118"/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6"/>
    </row>
    <row r="58" spans="1:19" x14ac:dyDescent="0.25">
      <c r="A58" s="127"/>
      <c r="B58" s="118"/>
      <c r="C58" s="118"/>
      <c r="D58" s="118"/>
      <c r="E58" s="118"/>
      <c r="F58" s="118"/>
      <c r="G58" s="118"/>
      <c r="H58" s="118"/>
      <c r="I58" s="118"/>
      <c r="J58" s="118"/>
      <c r="K58" s="118"/>
      <c r="L58" s="118"/>
      <c r="M58" s="118"/>
      <c r="N58" s="118"/>
      <c r="O58" s="118"/>
      <c r="P58" s="118"/>
      <c r="Q58" s="118"/>
      <c r="R58" s="118"/>
      <c r="S58" s="6"/>
    </row>
    <row r="59" spans="1:19" x14ac:dyDescent="0.25">
      <c r="A59" s="127"/>
      <c r="B59" s="118"/>
      <c r="C59" s="118"/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6"/>
    </row>
    <row r="60" spans="1:19" x14ac:dyDescent="0.25">
      <c r="A60" s="127"/>
      <c r="B60" s="118"/>
      <c r="C60" s="118"/>
      <c r="D60" s="118"/>
      <c r="E60" s="118"/>
      <c r="F60" s="118"/>
      <c r="G60" s="118"/>
      <c r="H60" s="118"/>
      <c r="I60" s="118"/>
      <c r="J60" s="118"/>
      <c r="K60" s="118"/>
      <c r="L60" s="118"/>
      <c r="M60" s="118"/>
      <c r="N60" s="118"/>
      <c r="O60" s="118"/>
      <c r="P60" s="118"/>
      <c r="Q60" s="118"/>
      <c r="R60" s="118"/>
      <c r="S60" s="6"/>
    </row>
    <row r="61" spans="1:19" x14ac:dyDescent="0.25">
      <c r="A61" s="127"/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6"/>
    </row>
    <row r="62" spans="1:19" x14ac:dyDescent="0.25">
      <c r="A62" s="127"/>
      <c r="B62" s="118"/>
      <c r="C62" s="118"/>
      <c r="D62" s="118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6"/>
    </row>
    <row r="63" spans="1:19" x14ac:dyDescent="0.25">
      <c r="A63" s="127"/>
      <c r="B63" s="118"/>
      <c r="C63" s="118"/>
      <c r="D63" s="118"/>
      <c r="E63" s="118"/>
      <c r="F63" s="118"/>
      <c r="G63" s="118"/>
      <c r="H63" s="118"/>
      <c r="I63" s="118"/>
      <c r="J63" s="118"/>
      <c r="K63" s="118"/>
      <c r="L63" s="118"/>
      <c r="M63" s="118"/>
      <c r="N63" s="118"/>
      <c r="O63" s="118"/>
      <c r="P63" s="118"/>
      <c r="Q63" s="118"/>
      <c r="R63" s="118"/>
      <c r="S63" s="6"/>
    </row>
    <row r="64" spans="1:19" x14ac:dyDescent="0.25">
      <c r="A64" s="127"/>
      <c r="B64" s="118"/>
      <c r="C64" s="118"/>
      <c r="D64" s="118"/>
      <c r="E64" s="118"/>
      <c r="F64" s="118"/>
      <c r="G64" s="118"/>
      <c r="H64" s="118"/>
      <c r="I64" s="118"/>
      <c r="J64" s="118"/>
      <c r="K64" s="118"/>
      <c r="L64" s="118"/>
      <c r="M64" s="118"/>
      <c r="N64" s="118"/>
      <c r="O64" s="118"/>
      <c r="P64" s="118"/>
      <c r="Q64" s="118"/>
      <c r="R64" s="118"/>
      <c r="S64" s="6"/>
    </row>
    <row r="65" spans="1:19" x14ac:dyDescent="0.25">
      <c r="A65" s="127"/>
      <c r="B65" s="118"/>
      <c r="C65" s="118"/>
      <c r="D65" s="118"/>
      <c r="E65" s="118"/>
      <c r="F65" s="118"/>
      <c r="G65" s="118"/>
      <c r="H65" s="118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6"/>
    </row>
    <row r="66" spans="1:19" x14ac:dyDescent="0.25">
      <c r="A66" s="127"/>
      <c r="B66" s="118"/>
      <c r="C66" s="118"/>
      <c r="D66" s="118"/>
      <c r="E66" s="118"/>
      <c r="F66" s="118"/>
      <c r="G66" s="118"/>
      <c r="H66" s="118"/>
      <c r="I66" s="118"/>
      <c r="J66" s="118"/>
      <c r="K66" s="118"/>
      <c r="L66" s="118"/>
      <c r="M66" s="118"/>
      <c r="N66" s="118"/>
      <c r="O66" s="118"/>
      <c r="P66" s="118"/>
      <c r="Q66" s="118"/>
      <c r="R66" s="118"/>
      <c r="S66" s="6"/>
    </row>
    <row r="67" spans="1:19" x14ac:dyDescent="0.25">
      <c r="A67" s="127"/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6"/>
    </row>
    <row r="68" spans="1:19" x14ac:dyDescent="0.25">
      <c r="A68" s="127"/>
      <c r="B68" s="118"/>
      <c r="C68" s="118"/>
      <c r="D68" s="118"/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118"/>
      <c r="Q68" s="118"/>
      <c r="R68" s="118"/>
      <c r="S68" s="6"/>
    </row>
    <row r="69" spans="1:19" x14ac:dyDescent="0.25">
      <c r="A69" s="127"/>
      <c r="B69" s="118"/>
      <c r="C69" s="118"/>
      <c r="D69" s="118"/>
      <c r="E69" s="118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118"/>
      <c r="Q69" s="118"/>
      <c r="R69" s="118"/>
      <c r="S69" s="6"/>
    </row>
    <row r="70" spans="1:19" x14ac:dyDescent="0.25">
      <c r="A70" s="127"/>
      <c r="B70" s="118"/>
      <c r="C70" s="118"/>
      <c r="D70" s="118"/>
      <c r="E70" s="118"/>
      <c r="F70" s="118"/>
      <c r="G70" s="118"/>
      <c r="H70" s="118"/>
      <c r="I70" s="118"/>
      <c r="J70" s="118"/>
      <c r="K70" s="118"/>
      <c r="L70" s="118"/>
      <c r="M70" s="118"/>
      <c r="N70" s="118"/>
      <c r="O70" s="118"/>
      <c r="P70" s="118"/>
      <c r="Q70" s="118"/>
      <c r="R70" s="118"/>
      <c r="S70" s="6"/>
    </row>
    <row r="71" spans="1:19" x14ac:dyDescent="0.25">
      <c r="A71" s="127"/>
      <c r="B71" s="118"/>
      <c r="C71" s="118"/>
      <c r="D71" s="118"/>
      <c r="E71" s="118"/>
      <c r="F71" s="118"/>
      <c r="G71" s="118"/>
      <c r="H71" s="118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6"/>
    </row>
    <row r="72" spans="1:19" x14ac:dyDescent="0.25">
      <c r="A72" s="127"/>
      <c r="B72" s="118"/>
      <c r="C72" s="118"/>
      <c r="D72" s="118"/>
      <c r="E72" s="118"/>
      <c r="F72" s="118"/>
      <c r="G72" s="118"/>
      <c r="H72" s="118"/>
      <c r="I72" s="118"/>
      <c r="J72" s="118"/>
      <c r="K72" s="118"/>
      <c r="L72" s="118"/>
      <c r="M72" s="118"/>
      <c r="N72" s="118"/>
      <c r="O72" s="118"/>
      <c r="P72" s="118"/>
      <c r="Q72" s="118"/>
      <c r="R72" s="118"/>
      <c r="S72" s="6"/>
    </row>
    <row r="73" spans="1:19" x14ac:dyDescent="0.25">
      <c r="A73" s="127"/>
      <c r="B73" s="118"/>
      <c r="C73" s="118"/>
      <c r="D73" s="118"/>
      <c r="E73" s="118"/>
      <c r="F73" s="118"/>
      <c r="G73" s="118"/>
      <c r="H73" s="118"/>
      <c r="I73" s="118"/>
      <c r="J73" s="118"/>
      <c r="K73" s="118"/>
      <c r="L73" s="118"/>
      <c r="M73" s="118"/>
      <c r="N73" s="118"/>
      <c r="O73" s="118"/>
      <c r="P73" s="118"/>
      <c r="Q73" s="118"/>
      <c r="R73" s="118"/>
      <c r="S73" s="6"/>
    </row>
    <row r="74" spans="1:19" x14ac:dyDescent="0.25">
      <c r="A74" s="127"/>
      <c r="B74" s="118"/>
      <c r="C74" s="118"/>
      <c r="D74" s="118"/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6"/>
    </row>
    <row r="75" spans="1:19" x14ac:dyDescent="0.25">
      <c r="A75" s="127"/>
      <c r="B75" s="118"/>
      <c r="C75" s="118"/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6"/>
    </row>
    <row r="76" spans="1:19" x14ac:dyDescent="0.25">
      <c r="A76" s="127"/>
      <c r="B76" s="118"/>
      <c r="C76" s="118"/>
      <c r="D76" s="118"/>
      <c r="E76" s="118"/>
      <c r="F76" s="118"/>
      <c r="G76" s="118"/>
      <c r="H76" s="118"/>
      <c r="I76" s="118"/>
      <c r="J76" s="118"/>
      <c r="K76" s="118"/>
      <c r="L76" s="118"/>
      <c r="M76" s="118"/>
      <c r="N76" s="118"/>
      <c r="O76" s="118"/>
      <c r="P76" s="118"/>
      <c r="Q76" s="118"/>
      <c r="R76" s="118"/>
      <c r="S76" s="6"/>
    </row>
    <row r="77" spans="1:19" x14ac:dyDescent="0.25">
      <c r="A77" s="127"/>
      <c r="B77" s="118"/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6"/>
    </row>
    <row r="78" spans="1:19" x14ac:dyDescent="0.25">
      <c r="A78" s="127"/>
      <c r="B78" s="118"/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6"/>
    </row>
    <row r="79" spans="1:19" x14ac:dyDescent="0.25">
      <c r="A79" s="127"/>
      <c r="B79" s="118"/>
      <c r="C79" s="118"/>
      <c r="D79" s="118"/>
      <c r="E79" s="118"/>
      <c r="F79" s="118"/>
      <c r="G79" s="118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6"/>
    </row>
    <row r="80" spans="1:19" x14ac:dyDescent="0.25">
      <c r="A80" s="127"/>
      <c r="B80" s="118"/>
      <c r="C80" s="118"/>
      <c r="D80" s="118"/>
      <c r="E80" s="118"/>
      <c r="F80" s="118"/>
      <c r="G80" s="118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6"/>
    </row>
    <row r="81" spans="1:26" x14ac:dyDescent="0.25">
      <c r="A81" s="127"/>
      <c r="B81" s="118"/>
      <c r="C81" s="118"/>
      <c r="D81" s="118"/>
      <c r="E81" s="118"/>
      <c r="F81" s="118"/>
      <c r="G81" s="118"/>
      <c r="H81" s="118"/>
      <c r="I81" s="118"/>
      <c r="J81" s="118"/>
      <c r="K81" s="118"/>
      <c r="L81" s="118"/>
      <c r="M81" s="118"/>
      <c r="N81" s="118"/>
      <c r="O81" s="118"/>
      <c r="P81" s="118"/>
      <c r="Q81" s="118"/>
      <c r="R81" s="118"/>
      <c r="S81" s="6"/>
    </row>
    <row r="82" spans="1:26" x14ac:dyDescent="0.25">
      <c r="A82" s="127"/>
      <c r="B82" s="118"/>
      <c r="C82" s="118"/>
      <c r="D82" s="118"/>
      <c r="E82" s="118"/>
      <c r="F82" s="118"/>
      <c r="G82" s="118"/>
      <c r="H82" s="118"/>
      <c r="I82" s="118"/>
      <c r="J82" s="118"/>
      <c r="K82" s="118"/>
      <c r="L82" s="118"/>
      <c r="M82" s="118"/>
      <c r="N82" s="118"/>
      <c r="O82" s="118"/>
      <c r="P82" s="118"/>
      <c r="Q82" s="118"/>
      <c r="R82" s="118"/>
      <c r="S82" s="6"/>
    </row>
    <row r="83" spans="1:26" x14ac:dyDescent="0.25">
      <c r="A83" s="127"/>
      <c r="B83" s="118"/>
      <c r="C83" s="118"/>
      <c r="D83" s="118"/>
      <c r="E83" s="118"/>
      <c r="F83" s="118"/>
      <c r="G83" s="118"/>
      <c r="H83" s="118"/>
      <c r="I83" s="118"/>
      <c r="J83" s="118"/>
      <c r="K83" s="118"/>
      <c r="L83" s="118"/>
      <c r="M83" s="118"/>
      <c r="N83" s="118"/>
      <c r="O83" s="118"/>
      <c r="P83" s="118"/>
      <c r="Q83" s="118"/>
      <c r="R83" s="118"/>
      <c r="S83" s="6"/>
    </row>
    <row r="84" spans="1:26" x14ac:dyDescent="0.25">
      <c r="A84" s="127"/>
      <c r="B84" s="118"/>
      <c r="C84" s="118"/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118"/>
      <c r="Q84" s="118"/>
      <c r="R84" s="118"/>
      <c r="S84" s="6"/>
    </row>
    <row r="85" spans="1:26" x14ac:dyDescent="0.25">
      <c r="A85" s="127"/>
      <c r="B85" s="118"/>
      <c r="C85" s="118"/>
      <c r="D85" s="118"/>
      <c r="E85" s="118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118"/>
      <c r="Q85" s="118"/>
      <c r="R85" s="118"/>
      <c r="S85" s="6"/>
    </row>
    <row r="86" spans="1:26" x14ac:dyDescent="0.25">
      <c r="A86" s="127"/>
      <c r="B86" s="118"/>
      <c r="C86" s="118"/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8"/>
      <c r="Q86" s="118"/>
      <c r="R86" s="118"/>
      <c r="S86" s="6"/>
      <c r="Z86" s="30"/>
    </row>
    <row r="87" spans="1:26" x14ac:dyDescent="0.25">
      <c r="A87" s="127"/>
      <c r="B87" s="118"/>
      <c r="C87" s="118"/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118"/>
      <c r="Q87" s="118"/>
      <c r="R87" s="118"/>
      <c r="S87" s="6"/>
    </row>
    <row r="88" spans="1:26" x14ac:dyDescent="0.25">
      <c r="A88" s="127"/>
      <c r="B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6"/>
    </row>
    <row r="89" spans="1:26" x14ac:dyDescent="0.25">
      <c r="A89" s="127"/>
      <c r="B89" s="11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18"/>
      <c r="O89" s="118"/>
      <c r="P89" s="118"/>
      <c r="Q89" s="118"/>
      <c r="R89" s="118"/>
      <c r="S89" s="6"/>
    </row>
    <row r="90" spans="1:26" x14ac:dyDescent="0.25">
      <c r="A90" s="127"/>
      <c r="B90" s="118"/>
      <c r="C90" s="118"/>
      <c r="D90" s="118"/>
      <c r="E90" s="118"/>
      <c r="F90" s="118"/>
      <c r="G90" s="118"/>
      <c r="H90" s="118"/>
      <c r="I90" s="118"/>
      <c r="J90" s="118"/>
      <c r="K90" s="118"/>
      <c r="L90" s="118"/>
      <c r="M90" s="118"/>
      <c r="N90" s="118"/>
      <c r="O90" s="118"/>
      <c r="P90" s="118"/>
      <c r="Q90" s="118"/>
      <c r="R90" s="118"/>
      <c r="S90" s="76"/>
    </row>
    <row r="91" spans="1:26" x14ac:dyDescent="0.25">
      <c r="A91" s="127"/>
      <c r="B91" s="118"/>
      <c r="C91" s="118"/>
      <c r="D91" s="118"/>
      <c r="E91" s="118"/>
      <c r="F91" s="118"/>
      <c r="G91" s="118"/>
      <c r="H91" s="118"/>
      <c r="I91" s="118"/>
      <c r="J91" s="118"/>
      <c r="K91" s="118"/>
      <c r="L91" s="118"/>
      <c r="M91" s="118"/>
      <c r="N91" s="118"/>
      <c r="O91" s="118"/>
      <c r="P91" s="118"/>
      <c r="Q91" s="118"/>
      <c r="R91" s="118"/>
      <c r="S91" s="77"/>
    </row>
    <row r="92" spans="1:26" ht="15" customHeight="1" x14ac:dyDescent="0.25">
      <c r="A92" s="127"/>
      <c r="B92" s="118"/>
      <c r="C92" s="118"/>
      <c r="D92" s="118"/>
      <c r="E92" s="118"/>
      <c r="F92" s="118"/>
      <c r="G92" s="118"/>
      <c r="H92" s="118"/>
      <c r="I92" s="118"/>
      <c r="J92" s="118"/>
      <c r="K92" s="118"/>
      <c r="L92" s="118"/>
      <c r="M92" s="118"/>
      <c r="N92" s="118"/>
      <c r="O92" s="118"/>
      <c r="P92" s="118"/>
      <c r="Q92" s="118"/>
      <c r="R92" s="118"/>
      <c r="S92" s="77"/>
    </row>
    <row r="93" spans="1:26" ht="15" customHeight="1" x14ac:dyDescent="0.25">
      <c r="A93" s="14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77"/>
    </row>
    <row r="94" spans="1:26" ht="15" customHeight="1" x14ac:dyDescent="0.25">
      <c r="A94" s="14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77"/>
    </row>
    <row r="95" spans="1:26" ht="15" customHeight="1" x14ac:dyDescent="0.25">
      <c r="A95" s="80"/>
      <c r="B95" s="54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77"/>
    </row>
    <row r="96" spans="1:26" ht="15" customHeight="1" x14ac:dyDescent="0.25">
      <c r="A96" s="80"/>
      <c r="B96" s="54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77"/>
    </row>
    <row r="97" spans="1:19" ht="15" customHeight="1" x14ac:dyDescent="0.25">
      <c r="A97" s="80"/>
      <c r="B97" s="125"/>
      <c r="C97" s="125"/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77"/>
    </row>
    <row r="98" spans="1:19" ht="15" customHeight="1" x14ac:dyDescent="0.25">
      <c r="A98" s="82"/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77"/>
    </row>
    <row r="99" spans="1:19" ht="15" customHeight="1" x14ac:dyDescent="0.25">
      <c r="A99" s="128"/>
      <c r="B99" s="125"/>
      <c r="C99" s="125"/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6"/>
    </row>
    <row r="100" spans="1:19" ht="15" customHeight="1" x14ac:dyDescent="0.25">
      <c r="A100" s="128"/>
      <c r="B100" s="125"/>
      <c r="C100" s="125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6"/>
    </row>
    <row r="101" spans="1:19" ht="15" customHeight="1" x14ac:dyDescent="0.25">
      <c r="A101" s="128"/>
      <c r="B101" s="125"/>
      <c r="C101" s="125"/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6"/>
    </row>
    <row r="102" spans="1:19" ht="15" customHeight="1" x14ac:dyDescent="0.25">
      <c r="A102" s="128"/>
      <c r="B102" s="125"/>
      <c r="C102" s="125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6"/>
    </row>
    <row r="103" spans="1:19" ht="15" customHeight="1" x14ac:dyDescent="0.25">
      <c r="A103" s="128"/>
      <c r="B103" s="125"/>
      <c r="C103" s="125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6"/>
    </row>
    <row r="104" spans="1:19" ht="15" customHeight="1" x14ac:dyDescent="0.25">
      <c r="A104" s="128"/>
      <c r="B104" s="125"/>
      <c r="C104" s="125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6"/>
    </row>
    <row r="105" spans="1:19" ht="15" customHeight="1" x14ac:dyDescent="0.25">
      <c r="A105" s="128"/>
      <c r="B105" s="125"/>
      <c r="C105" s="125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6"/>
    </row>
    <row r="106" spans="1:19" ht="15" customHeight="1" x14ac:dyDescent="0.25">
      <c r="A106" s="128"/>
      <c r="B106" s="125"/>
      <c r="C106" s="125"/>
      <c r="D106" s="125"/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6"/>
    </row>
    <row r="107" spans="1:19" ht="15" customHeight="1" x14ac:dyDescent="0.25">
      <c r="A107" s="128"/>
      <c r="B107" s="125"/>
      <c r="C107" s="125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6"/>
    </row>
    <row r="108" spans="1:19" ht="15" customHeight="1" x14ac:dyDescent="0.25">
      <c r="A108" s="128"/>
      <c r="B108" s="125"/>
      <c r="C108" s="125"/>
      <c r="D108" s="125"/>
      <c r="E108" s="125"/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6"/>
    </row>
    <row r="109" spans="1:19" ht="15" customHeight="1" x14ac:dyDescent="0.25">
      <c r="A109" s="128"/>
      <c r="B109" s="125"/>
      <c r="C109" s="125"/>
      <c r="D109" s="125"/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6"/>
    </row>
    <row r="110" spans="1:19" ht="15" customHeight="1" x14ac:dyDescent="0.25">
      <c r="A110" s="128"/>
      <c r="B110" s="125"/>
      <c r="C110" s="125"/>
      <c r="D110" s="125"/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6"/>
    </row>
    <row r="111" spans="1:19" ht="15" customHeight="1" x14ac:dyDescent="0.25">
      <c r="A111" s="128"/>
      <c r="B111" s="125"/>
      <c r="C111" s="125"/>
      <c r="D111" s="125"/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6"/>
    </row>
    <row r="112" spans="1:19" ht="15" customHeight="1" x14ac:dyDescent="0.25">
      <c r="A112" s="128"/>
      <c r="B112" s="125"/>
      <c r="C112" s="125"/>
      <c r="D112" s="125"/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6"/>
    </row>
    <row r="113" spans="1:19" ht="15" customHeight="1" x14ac:dyDescent="0.25">
      <c r="A113" s="128"/>
      <c r="B113" s="125"/>
      <c r="C113" s="125"/>
      <c r="D113" s="125"/>
      <c r="E113" s="125"/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6"/>
    </row>
    <row r="114" spans="1:19" ht="15" customHeight="1" x14ac:dyDescent="0.25">
      <c r="A114" s="128"/>
      <c r="B114" s="125"/>
      <c r="C114" s="125"/>
      <c r="D114" s="125"/>
      <c r="E114" s="125"/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6"/>
    </row>
    <row r="115" spans="1:19" ht="15" customHeight="1" x14ac:dyDescent="0.25">
      <c r="A115" s="128"/>
      <c r="B115" s="125"/>
      <c r="C115" s="125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6"/>
    </row>
    <row r="116" spans="1:19" ht="15" customHeight="1" x14ac:dyDescent="0.25">
      <c r="A116" s="128"/>
      <c r="B116" s="125"/>
      <c r="C116" s="125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6"/>
    </row>
    <row r="117" spans="1:19" ht="15" customHeight="1" x14ac:dyDescent="0.25">
      <c r="A117" s="128"/>
      <c r="B117" s="125"/>
      <c r="C117" s="125"/>
      <c r="D117" s="125"/>
      <c r="E117" s="125"/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6"/>
    </row>
    <row r="118" spans="1:19" ht="15" customHeight="1" x14ac:dyDescent="0.25">
      <c r="A118" s="128"/>
      <c r="B118" s="125"/>
      <c r="C118" s="125"/>
      <c r="D118" s="125"/>
      <c r="E118" s="125"/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6"/>
    </row>
    <row r="119" spans="1:19" ht="15" customHeight="1" x14ac:dyDescent="0.25">
      <c r="A119" s="128"/>
      <c r="B119" s="125"/>
      <c r="C119" s="125"/>
      <c r="D119" s="125"/>
      <c r="E119" s="125"/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6"/>
    </row>
    <row r="120" spans="1:19" ht="15" customHeight="1" x14ac:dyDescent="0.25">
      <c r="A120" s="128"/>
      <c r="B120" s="125"/>
      <c r="C120" s="125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6"/>
    </row>
    <row r="121" spans="1:19" ht="15" customHeight="1" x14ac:dyDescent="0.25">
      <c r="A121" s="128"/>
      <c r="B121" s="125"/>
      <c r="C121" s="125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6"/>
    </row>
    <row r="122" spans="1:19" ht="15" customHeight="1" x14ac:dyDescent="0.25">
      <c r="A122" s="128"/>
      <c r="B122" s="125"/>
      <c r="C122" s="125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6"/>
    </row>
    <row r="123" spans="1:19" ht="15" customHeight="1" x14ac:dyDescent="0.25">
      <c r="A123" s="128"/>
      <c r="B123" s="125"/>
      <c r="C123" s="125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6"/>
    </row>
    <row r="124" spans="1:19" ht="15" customHeight="1" x14ac:dyDescent="0.25">
      <c r="A124" s="128"/>
      <c r="B124" s="125"/>
      <c r="C124" s="125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6"/>
    </row>
    <row r="125" spans="1:19" ht="15" customHeight="1" x14ac:dyDescent="0.25">
      <c r="A125" s="128"/>
      <c r="B125" s="125"/>
      <c r="C125" s="125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6"/>
    </row>
    <row r="126" spans="1:19" ht="15" customHeight="1" x14ac:dyDescent="0.25">
      <c r="A126" s="128"/>
      <c r="B126" s="125"/>
      <c r="C126" s="125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6"/>
    </row>
    <row r="127" spans="1:19" ht="15" customHeight="1" x14ac:dyDescent="0.25">
      <c r="A127" s="128"/>
      <c r="B127" s="125"/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6"/>
    </row>
    <row r="128" spans="1:19" ht="15" customHeight="1" x14ac:dyDescent="0.25">
      <c r="A128" s="128"/>
      <c r="B128" s="125"/>
      <c r="C128" s="125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6"/>
    </row>
    <row r="129" spans="1:27" ht="15" customHeight="1" x14ac:dyDescent="0.25">
      <c r="A129" s="128"/>
      <c r="B129" s="125"/>
      <c r="C129" s="125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6"/>
    </row>
    <row r="130" spans="1:27" ht="15" customHeight="1" x14ac:dyDescent="0.25">
      <c r="A130" s="128"/>
      <c r="B130" s="125"/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6"/>
    </row>
    <row r="131" spans="1:27" ht="15" customHeight="1" x14ac:dyDescent="0.25">
      <c r="A131" s="128"/>
      <c r="B131" s="125"/>
      <c r="C131" s="125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6"/>
    </row>
    <row r="132" spans="1:27" ht="15" customHeight="1" x14ac:dyDescent="0.25">
      <c r="A132" s="5"/>
      <c r="B132" s="125"/>
      <c r="C132" s="125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6"/>
    </row>
    <row r="133" spans="1:27" ht="15" customHeight="1" x14ac:dyDescent="0.25">
      <c r="A133" s="5"/>
      <c r="B133" s="125"/>
      <c r="C133" s="125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6"/>
    </row>
    <row r="134" spans="1:27" ht="15" customHeight="1" x14ac:dyDescent="0.25">
      <c r="A134" s="5"/>
      <c r="B134" s="125"/>
      <c r="C134" s="125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6"/>
    </row>
    <row r="135" spans="1:27" ht="15" customHeight="1" x14ac:dyDescent="0.25">
      <c r="A135" s="5"/>
      <c r="B135" s="125"/>
      <c r="C135" s="125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6"/>
    </row>
    <row r="136" spans="1:27" x14ac:dyDescent="0.25">
      <c r="A136" s="15"/>
      <c r="S136" s="6"/>
    </row>
    <row r="137" spans="1:27" ht="15" customHeight="1" x14ac:dyDescent="0.25">
      <c r="A137" s="14"/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6"/>
    </row>
    <row r="138" spans="1:27" ht="15" customHeight="1" x14ac:dyDescent="0.25">
      <c r="A138" s="14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6"/>
    </row>
    <row r="139" spans="1:27" ht="15" customHeight="1" x14ac:dyDescent="0.25">
      <c r="A139" s="14"/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6"/>
    </row>
    <row r="140" spans="1:27" ht="15" customHeight="1" x14ac:dyDescent="0.25">
      <c r="A140" s="80"/>
      <c r="B140" s="54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76"/>
    </row>
    <row r="141" spans="1:27" ht="15" customHeight="1" x14ac:dyDescent="0.25">
      <c r="A141" s="80"/>
      <c r="B141" s="54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76"/>
    </row>
    <row r="142" spans="1:27" ht="15" customHeight="1" x14ac:dyDescent="0.25">
      <c r="A142" s="83"/>
      <c r="B142" s="59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78"/>
    </row>
    <row r="143" spans="1:27" x14ac:dyDescent="0.25">
      <c r="G143" s="30"/>
      <c r="AA143" s="2"/>
    </row>
    <row r="144" spans="1:27" ht="15" customHeight="1" x14ac:dyDescent="0.25">
      <c r="G144" s="30"/>
      <c r="AA144" s="2"/>
    </row>
    <row r="145" spans="7:27" x14ac:dyDescent="0.25">
      <c r="G145" s="30"/>
      <c r="AA145" s="2"/>
    </row>
    <row r="146" spans="7:27" x14ac:dyDescent="0.25">
      <c r="G146" s="30"/>
      <c r="AA146" s="2"/>
    </row>
    <row r="147" spans="7:27" x14ac:dyDescent="0.25">
      <c r="G147" s="30"/>
      <c r="AA147" s="2"/>
    </row>
    <row r="148" spans="7:27" x14ac:dyDescent="0.25">
      <c r="G148" s="30"/>
      <c r="AA148" s="2"/>
    </row>
    <row r="149" spans="7:27" x14ac:dyDescent="0.25">
      <c r="G149" s="30"/>
      <c r="AA149" s="2"/>
    </row>
    <row r="150" spans="7:27" x14ac:dyDescent="0.25">
      <c r="G150" s="30"/>
      <c r="AA150" s="2"/>
    </row>
    <row r="151" spans="7:27" x14ac:dyDescent="0.25">
      <c r="G151" s="30"/>
      <c r="AA151" s="2"/>
    </row>
    <row r="152" spans="7:27" x14ac:dyDescent="0.25">
      <c r="G152" s="30"/>
      <c r="AA152" s="2"/>
    </row>
    <row r="153" spans="7:27" x14ac:dyDescent="0.25">
      <c r="G153" s="30"/>
      <c r="AA153" s="2"/>
    </row>
    <row r="154" spans="7:27" x14ac:dyDescent="0.25">
      <c r="G154" s="30"/>
      <c r="AA154" s="2"/>
    </row>
    <row r="155" spans="7:27" x14ac:dyDescent="0.25">
      <c r="G155" s="30"/>
      <c r="AA155" s="2"/>
    </row>
    <row r="156" spans="7:27" x14ac:dyDescent="0.25">
      <c r="G156" s="30"/>
      <c r="AA156" s="2"/>
    </row>
    <row r="157" spans="7:27" x14ac:dyDescent="0.25">
      <c r="G157" s="30"/>
      <c r="AA157" s="2"/>
    </row>
    <row r="158" spans="7:27" x14ac:dyDescent="0.25">
      <c r="G158" s="30"/>
      <c r="AA158" s="2"/>
    </row>
    <row r="159" spans="7:27" x14ac:dyDescent="0.25">
      <c r="G159" s="30"/>
      <c r="AA159" s="2"/>
    </row>
    <row r="160" spans="7:27" x14ac:dyDescent="0.25">
      <c r="G160" s="30"/>
      <c r="AA160" s="2"/>
    </row>
    <row r="161" spans="7:27" x14ac:dyDescent="0.25">
      <c r="G161" s="30"/>
      <c r="AA161" s="2"/>
    </row>
    <row r="162" spans="7:27" x14ac:dyDescent="0.25">
      <c r="G162" s="30"/>
      <c r="AA162" s="2"/>
    </row>
    <row r="163" spans="7:27" x14ac:dyDescent="0.25">
      <c r="G163" s="30"/>
      <c r="AA163" s="2"/>
    </row>
    <row r="164" spans="7:27" x14ac:dyDescent="0.25">
      <c r="G164" s="30"/>
      <c r="AA164" s="2"/>
    </row>
    <row r="165" spans="7:27" x14ac:dyDescent="0.25">
      <c r="G165" s="30"/>
      <c r="AA165" s="2"/>
    </row>
    <row r="166" spans="7:27" x14ac:dyDescent="0.25">
      <c r="G166" s="30"/>
      <c r="AA166" s="2"/>
    </row>
    <row r="167" spans="7:27" x14ac:dyDescent="0.25">
      <c r="G167" s="30"/>
      <c r="AA167" s="2"/>
    </row>
    <row r="168" spans="7:27" x14ac:dyDescent="0.25">
      <c r="G168" s="30"/>
      <c r="AA168" s="2"/>
    </row>
    <row r="169" spans="7:27" x14ac:dyDescent="0.25">
      <c r="G169" s="30"/>
      <c r="AA169" s="2"/>
    </row>
    <row r="170" spans="7:27" x14ac:dyDescent="0.25">
      <c r="G170" s="30"/>
      <c r="AA170" s="2"/>
    </row>
    <row r="171" spans="7:27" x14ac:dyDescent="0.25">
      <c r="G171" s="30"/>
      <c r="AA171" s="2"/>
    </row>
    <row r="172" spans="7:27" x14ac:dyDescent="0.25">
      <c r="G172" s="30"/>
      <c r="AA172" s="2"/>
    </row>
    <row r="173" spans="7:27" x14ac:dyDescent="0.25">
      <c r="G173" s="30"/>
      <c r="AA173" s="2"/>
    </row>
    <row r="174" spans="7:27" x14ac:dyDescent="0.25">
      <c r="G174" s="30"/>
      <c r="AA174" s="2"/>
    </row>
    <row r="175" spans="7:27" x14ac:dyDescent="0.25">
      <c r="G175" s="30"/>
      <c r="AA175" s="2"/>
    </row>
    <row r="176" spans="7:27" x14ac:dyDescent="0.25">
      <c r="G176" s="30"/>
      <c r="AA176" s="2"/>
    </row>
    <row r="177" spans="7:27" x14ac:dyDescent="0.25">
      <c r="G177" s="30"/>
      <c r="AA177" s="2"/>
    </row>
    <row r="178" spans="7:27" x14ac:dyDescent="0.25">
      <c r="G178" s="30"/>
      <c r="AA178" s="2"/>
    </row>
    <row r="179" spans="7:27" x14ac:dyDescent="0.25">
      <c r="G179" s="30"/>
      <c r="AA179" s="2"/>
    </row>
    <row r="180" spans="7:27" x14ac:dyDescent="0.25">
      <c r="G180" s="30"/>
      <c r="AA180" s="2"/>
    </row>
    <row r="181" spans="7:27" x14ac:dyDescent="0.25">
      <c r="G181" s="30"/>
      <c r="AA181" s="2"/>
    </row>
    <row r="182" spans="7:27" ht="15" customHeight="1" x14ac:dyDescent="0.25">
      <c r="G182" s="30"/>
      <c r="AA182" s="2"/>
    </row>
    <row r="183" spans="7:27" ht="15" customHeight="1" x14ac:dyDescent="0.25">
      <c r="G183" s="30"/>
      <c r="AA183" s="2"/>
    </row>
    <row r="184" spans="7:27" ht="15" customHeight="1" x14ac:dyDescent="0.25">
      <c r="G184" s="30"/>
      <c r="AA184" s="2"/>
    </row>
    <row r="185" spans="7:27" ht="15" customHeight="1" x14ac:dyDescent="0.25">
      <c r="G185" s="30"/>
      <c r="AA185" s="2"/>
    </row>
    <row r="186" spans="7:27" ht="15" customHeight="1" x14ac:dyDescent="0.25">
      <c r="G186" s="30"/>
      <c r="AA186" s="2"/>
    </row>
    <row r="187" spans="7:27" ht="15" customHeight="1" x14ac:dyDescent="0.25">
      <c r="G187" s="30"/>
      <c r="AA187" s="2"/>
    </row>
    <row r="188" spans="7:27" x14ac:dyDescent="0.25">
      <c r="G188" s="30"/>
      <c r="AA188" s="2"/>
    </row>
    <row r="189" spans="7:27" ht="15" customHeight="1" x14ac:dyDescent="0.25">
      <c r="G189" s="30"/>
      <c r="AA189" s="2"/>
    </row>
    <row r="190" spans="7:27" x14ac:dyDescent="0.25">
      <c r="G190" s="30"/>
      <c r="AA190" s="2"/>
    </row>
    <row r="191" spans="7:27" x14ac:dyDescent="0.25">
      <c r="G191" s="30"/>
      <c r="AA191" s="2"/>
    </row>
    <row r="192" spans="7:27" x14ac:dyDescent="0.25">
      <c r="G192" s="30"/>
      <c r="AA192" s="2"/>
    </row>
    <row r="193" spans="7:27" x14ac:dyDescent="0.25">
      <c r="G193" s="30"/>
      <c r="AA193" s="2"/>
    </row>
    <row r="194" spans="7:27" x14ac:dyDescent="0.25">
      <c r="G194" s="30"/>
      <c r="AA194" s="2"/>
    </row>
    <row r="195" spans="7:27" x14ac:dyDescent="0.25">
      <c r="G195" s="30"/>
      <c r="AA195" s="2"/>
    </row>
    <row r="196" spans="7:27" x14ac:dyDescent="0.25">
      <c r="G196" s="30"/>
      <c r="AA196" s="2"/>
    </row>
    <row r="197" spans="7:27" x14ac:dyDescent="0.25">
      <c r="G197" s="30"/>
      <c r="AA197" s="2"/>
    </row>
    <row r="198" spans="7:27" x14ac:dyDescent="0.25">
      <c r="G198" s="30"/>
      <c r="AA198" s="2"/>
    </row>
    <row r="199" spans="7:27" x14ac:dyDescent="0.25">
      <c r="G199" s="30"/>
      <c r="AA199" s="2"/>
    </row>
    <row r="200" spans="7:27" x14ac:dyDescent="0.25">
      <c r="G200" s="30"/>
      <c r="AA200" s="2"/>
    </row>
    <row r="201" spans="7:27" x14ac:dyDescent="0.25">
      <c r="G201" s="30"/>
      <c r="AA201" s="2"/>
    </row>
    <row r="202" spans="7:27" x14ac:dyDescent="0.25">
      <c r="G202" s="30"/>
      <c r="AA202" s="2"/>
    </row>
    <row r="203" spans="7:27" x14ac:dyDescent="0.25">
      <c r="G203" s="30"/>
      <c r="AA203" s="2"/>
    </row>
    <row r="204" spans="7:27" x14ac:dyDescent="0.25">
      <c r="G204" s="30"/>
      <c r="AA204" s="2"/>
    </row>
    <row r="205" spans="7:27" x14ac:dyDescent="0.25">
      <c r="G205" s="30"/>
      <c r="AA205" s="2"/>
    </row>
    <row r="206" spans="7:27" x14ac:dyDescent="0.25">
      <c r="G206" s="30"/>
      <c r="AA206" s="2"/>
    </row>
    <row r="207" spans="7:27" x14ac:dyDescent="0.25">
      <c r="G207" s="30"/>
      <c r="AA207" s="2"/>
    </row>
    <row r="208" spans="7:27" x14ac:dyDescent="0.25">
      <c r="G208" s="30"/>
      <c r="AA208" s="2"/>
    </row>
    <row r="209" spans="7:27" x14ac:dyDescent="0.25">
      <c r="G209" s="30"/>
      <c r="AA209" s="2"/>
    </row>
    <row r="210" spans="7:27" x14ac:dyDescent="0.25">
      <c r="G210" s="30"/>
      <c r="AA210" s="2"/>
    </row>
    <row r="211" spans="7:27" x14ac:dyDescent="0.25">
      <c r="G211" s="30"/>
      <c r="AA211" s="2"/>
    </row>
    <row r="212" spans="7:27" x14ac:dyDescent="0.25">
      <c r="G212" s="30"/>
      <c r="AA212" s="2"/>
    </row>
    <row r="213" spans="7:27" x14ac:dyDescent="0.25">
      <c r="G213" s="30"/>
      <c r="AA213" s="2"/>
    </row>
    <row r="214" spans="7:27" x14ac:dyDescent="0.25">
      <c r="G214" s="30"/>
      <c r="AA214" s="2"/>
    </row>
    <row r="215" spans="7:27" x14ac:dyDescent="0.25">
      <c r="G215" s="30"/>
      <c r="AA215" s="2"/>
    </row>
    <row r="216" spans="7:27" x14ac:dyDescent="0.25">
      <c r="G216" s="30"/>
      <c r="AA216" s="2"/>
    </row>
    <row r="217" spans="7:27" x14ac:dyDescent="0.25">
      <c r="G217" s="30"/>
      <c r="AA217" s="2"/>
    </row>
    <row r="218" spans="7:27" x14ac:dyDescent="0.25">
      <c r="G218" s="30"/>
      <c r="AA218" s="2"/>
    </row>
    <row r="219" spans="7:27" x14ac:dyDescent="0.25">
      <c r="G219" s="30"/>
      <c r="AA219" s="2"/>
    </row>
    <row r="220" spans="7:27" x14ac:dyDescent="0.25">
      <c r="G220" s="30"/>
      <c r="AA220" s="2"/>
    </row>
    <row r="221" spans="7:27" x14ac:dyDescent="0.25">
      <c r="G221" s="30"/>
      <c r="AA221" s="2"/>
    </row>
    <row r="222" spans="7:27" x14ac:dyDescent="0.25">
      <c r="G222" s="30"/>
      <c r="AA222" s="2"/>
    </row>
    <row r="223" spans="7:27" x14ac:dyDescent="0.25">
      <c r="G223" s="30"/>
      <c r="AA223" s="2"/>
    </row>
    <row r="224" spans="7:27" x14ac:dyDescent="0.25">
      <c r="G224" s="30"/>
      <c r="AA224" s="2"/>
    </row>
    <row r="225" spans="7:27" x14ac:dyDescent="0.25">
      <c r="G225" s="30"/>
      <c r="AA225" s="2"/>
    </row>
    <row r="226" spans="7:27" x14ac:dyDescent="0.25">
      <c r="G226" s="30"/>
      <c r="AA226" s="2"/>
    </row>
    <row r="227" spans="7:27" ht="15" customHeight="1" x14ac:dyDescent="0.25">
      <c r="G227" s="30"/>
      <c r="AA227" s="2"/>
    </row>
    <row r="228" spans="7:27" ht="15" customHeight="1" x14ac:dyDescent="0.25">
      <c r="G228" s="30"/>
      <c r="AA228" s="2"/>
    </row>
    <row r="229" spans="7:27" ht="15" customHeight="1" x14ac:dyDescent="0.25">
      <c r="G229" s="30"/>
      <c r="AA229" s="2"/>
    </row>
    <row r="230" spans="7:27" ht="15" customHeight="1" x14ac:dyDescent="0.25">
      <c r="G230" s="30"/>
      <c r="AA230" s="2"/>
    </row>
    <row r="231" spans="7:27" ht="15" customHeight="1" x14ac:dyDescent="0.25">
      <c r="G231" s="30"/>
      <c r="AA231" s="2"/>
    </row>
    <row r="232" spans="7:27" ht="15" customHeight="1" x14ac:dyDescent="0.25">
      <c r="G232" s="30"/>
      <c r="AA232" s="2"/>
    </row>
    <row r="233" spans="7:27" x14ac:dyDescent="0.25">
      <c r="G233" s="30"/>
      <c r="AA233" s="2"/>
    </row>
    <row r="234" spans="7:27" ht="15" customHeight="1" x14ac:dyDescent="0.25">
      <c r="G234" s="30"/>
      <c r="AA234" s="2"/>
    </row>
    <row r="235" spans="7:27" x14ac:dyDescent="0.25">
      <c r="G235" s="30"/>
      <c r="AA235" s="2"/>
    </row>
    <row r="236" spans="7:27" x14ac:dyDescent="0.25">
      <c r="G236" s="30"/>
      <c r="AA236" s="2"/>
    </row>
    <row r="237" spans="7:27" x14ac:dyDescent="0.25">
      <c r="G237" s="30"/>
      <c r="AA237" s="2"/>
    </row>
    <row r="238" spans="7:27" x14ac:dyDescent="0.25">
      <c r="G238" s="30"/>
      <c r="AA238" s="2"/>
    </row>
    <row r="239" spans="7:27" x14ac:dyDescent="0.25">
      <c r="G239" s="30"/>
      <c r="AA239" s="2"/>
    </row>
    <row r="240" spans="7:27" x14ac:dyDescent="0.25">
      <c r="G240" s="30"/>
      <c r="AA240" s="2"/>
    </row>
    <row r="241" spans="7:27" x14ac:dyDescent="0.25">
      <c r="G241" s="30"/>
      <c r="AA241" s="2"/>
    </row>
    <row r="242" spans="7:27" x14ac:dyDescent="0.25">
      <c r="G242" s="30"/>
      <c r="AA242" s="2"/>
    </row>
    <row r="243" spans="7:27" x14ac:dyDescent="0.25">
      <c r="G243" s="30"/>
      <c r="AA243" s="2"/>
    </row>
    <row r="244" spans="7:27" x14ac:dyDescent="0.25">
      <c r="G244" s="30"/>
      <c r="AA244" s="2"/>
    </row>
    <row r="245" spans="7:27" x14ac:dyDescent="0.25">
      <c r="G245" s="30"/>
      <c r="AA245" s="2"/>
    </row>
    <row r="246" spans="7:27" x14ac:dyDescent="0.25">
      <c r="G246" s="30"/>
      <c r="AA246" s="2"/>
    </row>
    <row r="247" spans="7:27" x14ac:dyDescent="0.25">
      <c r="G247" s="30"/>
      <c r="AA247" s="2"/>
    </row>
    <row r="248" spans="7:27" x14ac:dyDescent="0.25">
      <c r="G248" s="30"/>
      <c r="AA248" s="2"/>
    </row>
    <row r="249" spans="7:27" x14ac:dyDescent="0.25">
      <c r="G249" s="30"/>
      <c r="AA249" s="2"/>
    </row>
    <row r="250" spans="7:27" x14ac:dyDescent="0.25">
      <c r="G250" s="30"/>
      <c r="AA250" s="2"/>
    </row>
    <row r="251" spans="7:27" x14ac:dyDescent="0.25">
      <c r="G251" s="30"/>
      <c r="AA251" s="2"/>
    </row>
    <row r="252" spans="7:27" x14ac:dyDescent="0.25">
      <c r="G252" s="30"/>
      <c r="AA252" s="2"/>
    </row>
    <row r="253" spans="7:27" x14ac:dyDescent="0.25">
      <c r="G253" s="30"/>
      <c r="AA253" s="2"/>
    </row>
    <row r="254" spans="7:27" x14ac:dyDescent="0.25">
      <c r="G254" s="30"/>
      <c r="AA254" s="2"/>
    </row>
    <row r="255" spans="7:27" x14ac:dyDescent="0.25">
      <c r="G255" s="30"/>
      <c r="AA255" s="2"/>
    </row>
    <row r="256" spans="7:27" x14ac:dyDescent="0.25">
      <c r="G256" s="30"/>
      <c r="AA256" s="2"/>
    </row>
    <row r="257" spans="7:27" x14ac:dyDescent="0.25">
      <c r="G257" s="30"/>
      <c r="AA257" s="2"/>
    </row>
    <row r="258" spans="7:27" x14ac:dyDescent="0.25">
      <c r="G258" s="30"/>
      <c r="AA258" s="2"/>
    </row>
    <row r="259" spans="7:27" x14ac:dyDescent="0.25">
      <c r="G259" s="30"/>
      <c r="AA259" s="2"/>
    </row>
    <row r="260" spans="7:27" x14ac:dyDescent="0.25">
      <c r="G260" s="30"/>
      <c r="AA260" s="2"/>
    </row>
    <row r="261" spans="7:27" x14ac:dyDescent="0.25">
      <c r="G261" s="30"/>
      <c r="AA261" s="2"/>
    </row>
    <row r="262" spans="7:27" x14ac:dyDescent="0.25">
      <c r="G262" s="30"/>
      <c r="AA262" s="2"/>
    </row>
    <row r="263" spans="7:27" x14ac:dyDescent="0.25">
      <c r="G263" s="30"/>
      <c r="AA263" s="2"/>
    </row>
    <row r="264" spans="7:27" x14ac:dyDescent="0.25">
      <c r="G264" s="30"/>
      <c r="AA264" s="2"/>
    </row>
    <row r="265" spans="7:27" x14ac:dyDescent="0.25">
      <c r="G265" s="30"/>
      <c r="AA265" s="2"/>
    </row>
    <row r="266" spans="7:27" x14ac:dyDescent="0.25">
      <c r="G266" s="30"/>
      <c r="AA266" s="2"/>
    </row>
    <row r="267" spans="7:27" x14ac:dyDescent="0.25">
      <c r="G267" s="30"/>
      <c r="AA267" s="2"/>
    </row>
    <row r="268" spans="7:27" x14ac:dyDescent="0.25">
      <c r="G268" s="30"/>
      <c r="AA268" s="2"/>
    </row>
    <row r="269" spans="7:27" x14ac:dyDescent="0.25">
      <c r="G269" s="30"/>
      <c r="AA269" s="2"/>
    </row>
    <row r="270" spans="7:27" x14ac:dyDescent="0.25">
      <c r="G270" s="30"/>
      <c r="AA270" s="2"/>
    </row>
    <row r="271" spans="7:27" x14ac:dyDescent="0.25">
      <c r="G271" s="30"/>
      <c r="AA271" s="2"/>
    </row>
    <row r="272" spans="7:27" x14ac:dyDescent="0.25">
      <c r="G272" s="30"/>
      <c r="AA272" s="2"/>
    </row>
    <row r="273" spans="7:27" x14ac:dyDescent="0.25">
      <c r="G273" s="30"/>
      <c r="AA273" s="2"/>
    </row>
  </sheetData>
  <mergeCells count="12">
    <mergeCell ref="B11:R49"/>
    <mergeCell ref="A54:A92"/>
    <mergeCell ref="B54:R92"/>
    <mergeCell ref="B97:R135"/>
    <mergeCell ref="A99:A131"/>
    <mergeCell ref="E1:O3"/>
    <mergeCell ref="E4:E5"/>
    <mergeCell ref="F4:O5"/>
    <mergeCell ref="E6:E7"/>
    <mergeCell ref="F6:O7"/>
    <mergeCell ref="E8:E9"/>
    <mergeCell ref="F8:O9"/>
  </mergeCells>
  <pageMargins left="0.19685039370078741" right="0.19685039370078741" top="0.19685039370078741" bottom="0.19685039370078741" header="0" footer="0.35433070866141736"/>
  <pageSetup paperSize="9" scale="39" fitToHeight="3" orientation="portrait" horizontalDpi="1200" verticalDpi="1200" r:id="rId1"/>
  <headerFooter alignWithMargins="0">
    <oddFooter xml:space="preserve">&amp;C&amp;18Tooshop | M. Santos | &amp;D&amp;R&amp;18Página &amp;P de &amp;N         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D273"/>
  <sheetViews>
    <sheetView view="pageBreakPreview" zoomScale="37" zoomScaleNormal="70" zoomScaleSheetLayoutView="37" workbookViewId="0">
      <selection activeCell="T57" sqref="T57"/>
    </sheetView>
  </sheetViews>
  <sheetFormatPr defaultRowHeight="15" x14ac:dyDescent="0.25"/>
  <cols>
    <col min="1" max="1" width="4.7109375" style="2" customWidth="1"/>
    <col min="2" max="2" width="9.140625" style="2"/>
    <col min="3" max="4" width="15.7109375" style="2" customWidth="1"/>
    <col min="5" max="5" width="30.7109375" style="2" customWidth="1"/>
    <col min="6" max="6" width="18.7109375" style="2" customWidth="1"/>
    <col min="7" max="13" width="9.140625" style="2"/>
    <col min="14" max="14" width="25.7109375" style="2" customWidth="1"/>
    <col min="15" max="15" width="30.7109375" style="2" customWidth="1"/>
    <col min="16" max="17" width="15.7109375" style="2" customWidth="1"/>
    <col min="18" max="18" width="9.140625" style="2" customWidth="1"/>
    <col min="19" max="19" width="4.5703125" style="2" customWidth="1"/>
    <col min="20" max="20" width="50.140625" style="2" customWidth="1"/>
    <col min="21" max="21" width="6.85546875" style="2" customWidth="1"/>
    <col min="22" max="22" width="6.5703125" style="2" customWidth="1"/>
    <col min="23" max="23" width="6.7109375" style="2" customWidth="1"/>
    <col min="24" max="24" width="7.28515625" style="2" customWidth="1"/>
    <col min="25" max="25" width="9.140625" style="2"/>
    <col min="26" max="26" width="39" style="2" bestFit="1" customWidth="1"/>
    <col min="27" max="27" width="13.5703125" style="30" bestFit="1" customWidth="1"/>
    <col min="28" max="28" width="10.42578125" style="2" bestFit="1" customWidth="1"/>
    <col min="29" max="29" width="19.42578125" style="2" bestFit="1" customWidth="1"/>
    <col min="30" max="30" width="5.42578125" style="2" bestFit="1" customWidth="1"/>
    <col min="31" max="16384" width="9.140625" style="2"/>
  </cols>
  <sheetData>
    <row r="1" spans="1:30" ht="15" customHeight="1" x14ac:dyDescent="0.25">
      <c r="A1" s="13"/>
      <c r="B1" s="3"/>
      <c r="C1" s="3"/>
      <c r="D1" s="3"/>
      <c r="E1" s="116" t="s">
        <v>3</v>
      </c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3"/>
      <c r="Q1" s="3"/>
      <c r="R1" s="3"/>
      <c r="S1" s="4"/>
      <c r="T1" s="10"/>
      <c r="Z1" s="49" t="s">
        <v>4</v>
      </c>
      <c r="AA1" s="88"/>
      <c r="AB1" s="102"/>
      <c r="AC1" s="103"/>
      <c r="AD1" s="104"/>
    </row>
    <row r="2" spans="1:30" ht="15" customHeight="1" x14ac:dyDescent="0.25">
      <c r="A2" s="14"/>
      <c r="B2" s="56"/>
      <c r="C2" s="56"/>
      <c r="D2" s="56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58"/>
      <c r="Q2" s="56"/>
      <c r="R2" s="56"/>
      <c r="S2" s="6"/>
      <c r="Z2" s="50" t="s">
        <v>477</v>
      </c>
      <c r="AA2" s="89">
        <v>4</v>
      </c>
      <c r="AB2" s="95"/>
      <c r="AC2" s="95"/>
      <c r="AD2" s="105"/>
    </row>
    <row r="3" spans="1:30" ht="15" customHeight="1" x14ac:dyDescent="0.25">
      <c r="A3" s="14"/>
      <c r="B3" s="56"/>
      <c r="C3" s="56"/>
      <c r="D3" s="56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58"/>
      <c r="Q3" s="56"/>
      <c r="R3" s="56"/>
      <c r="S3" s="6"/>
      <c r="Z3" s="50" t="s">
        <v>476</v>
      </c>
      <c r="AA3" s="89">
        <v>7</v>
      </c>
      <c r="AB3" s="95"/>
      <c r="AC3" s="95"/>
      <c r="AD3" s="105"/>
    </row>
    <row r="4" spans="1:30" ht="15" customHeight="1" x14ac:dyDescent="0.25">
      <c r="A4" s="14"/>
      <c r="B4" s="56"/>
      <c r="C4" s="56"/>
      <c r="D4" s="56"/>
      <c r="E4" s="129" t="str">
        <f>"Projeto: "</f>
        <v xml:space="preserve">Projeto: </v>
      </c>
      <c r="F4" s="131" t="str">
        <f>T7</f>
        <v>VW276_EU</v>
      </c>
      <c r="G4" s="131"/>
      <c r="H4" s="131"/>
      <c r="I4" s="131"/>
      <c r="J4" s="131"/>
      <c r="K4" s="131"/>
      <c r="L4" s="131"/>
      <c r="M4" s="131"/>
      <c r="N4" s="131"/>
      <c r="O4" s="132"/>
      <c r="P4" s="58"/>
      <c r="Q4" s="56"/>
      <c r="R4" s="56"/>
      <c r="S4" s="6"/>
      <c r="Z4" s="50" t="s">
        <v>218</v>
      </c>
      <c r="AA4" s="89">
        <v>5</v>
      </c>
      <c r="AB4" s="95"/>
      <c r="AC4" s="95"/>
      <c r="AD4" s="105"/>
    </row>
    <row r="5" spans="1:30" ht="15" customHeight="1" x14ac:dyDescent="0.25">
      <c r="A5" s="80"/>
      <c r="B5" s="54"/>
      <c r="C5" s="55"/>
      <c r="D5" s="55"/>
      <c r="E5" s="130"/>
      <c r="F5" s="133"/>
      <c r="G5" s="133"/>
      <c r="H5" s="133"/>
      <c r="I5" s="133"/>
      <c r="J5" s="133"/>
      <c r="K5" s="133"/>
      <c r="L5" s="133"/>
      <c r="M5" s="133"/>
      <c r="N5" s="133"/>
      <c r="O5" s="134"/>
      <c r="P5" s="58"/>
      <c r="Q5" s="55"/>
      <c r="R5" s="55"/>
      <c r="S5" s="6"/>
      <c r="Z5" s="50" t="s">
        <v>475</v>
      </c>
      <c r="AA5" s="89">
        <v>3</v>
      </c>
      <c r="AB5" s="95"/>
      <c r="AC5" s="95"/>
      <c r="AD5" s="105"/>
    </row>
    <row r="6" spans="1:30" ht="15" customHeight="1" x14ac:dyDescent="0.25">
      <c r="A6" s="80"/>
      <c r="B6" s="54"/>
      <c r="C6" s="55"/>
      <c r="D6" s="55"/>
      <c r="E6" s="135" t="str">
        <f>"Peça: "</f>
        <v xml:space="preserve">Peça: </v>
      </c>
      <c r="F6" s="136" t="str">
        <f>T8</f>
        <v>2GA.821.105</v>
      </c>
      <c r="G6" s="136"/>
      <c r="H6" s="136"/>
      <c r="I6" s="136"/>
      <c r="J6" s="136"/>
      <c r="K6" s="136"/>
      <c r="L6" s="136"/>
      <c r="M6" s="136"/>
      <c r="N6" s="136"/>
      <c r="O6" s="137"/>
      <c r="P6" s="58"/>
      <c r="Q6" s="55"/>
      <c r="R6" s="55"/>
      <c r="S6" s="6"/>
      <c r="T6" s="17" t="s">
        <v>361</v>
      </c>
      <c r="Z6" s="50" t="s">
        <v>249</v>
      </c>
      <c r="AA6" s="89">
        <v>2</v>
      </c>
      <c r="AB6" s="95"/>
      <c r="AC6" s="95"/>
      <c r="AD6" s="105"/>
    </row>
    <row r="7" spans="1:30" ht="15" customHeight="1" x14ac:dyDescent="0.25">
      <c r="A7" s="80"/>
      <c r="B7" s="54"/>
      <c r="C7" s="55"/>
      <c r="D7" s="55"/>
      <c r="E7" s="130"/>
      <c r="F7" s="133"/>
      <c r="G7" s="133"/>
      <c r="H7" s="133"/>
      <c r="I7" s="133"/>
      <c r="J7" s="133"/>
      <c r="K7" s="133"/>
      <c r="L7" s="133"/>
      <c r="M7" s="133"/>
      <c r="N7" s="133"/>
      <c r="O7" s="134"/>
      <c r="P7" s="55"/>
      <c r="Q7" s="55"/>
      <c r="R7" s="55"/>
      <c r="S7" s="6"/>
      <c r="T7" s="53" t="s">
        <v>79</v>
      </c>
      <c r="Z7" s="50" t="s">
        <v>2</v>
      </c>
      <c r="AA7" s="89">
        <f>SUM(AA2:AA6)</f>
        <v>21</v>
      </c>
      <c r="AB7" s="95">
        <f>SUM(AB2:AB6)</f>
        <v>0</v>
      </c>
      <c r="AC7" s="95"/>
      <c r="AD7" s="105"/>
    </row>
    <row r="8" spans="1:30" ht="15" customHeight="1" x14ac:dyDescent="0.25">
      <c r="A8" s="15"/>
      <c r="E8" s="135" t="str">
        <f>"Ano: "</f>
        <v xml:space="preserve">Ano: </v>
      </c>
      <c r="F8" s="136">
        <f>T9</f>
        <v>2017</v>
      </c>
      <c r="G8" s="136"/>
      <c r="H8" s="136"/>
      <c r="I8" s="136"/>
      <c r="J8" s="136"/>
      <c r="K8" s="136"/>
      <c r="L8" s="136"/>
      <c r="M8" s="136"/>
      <c r="N8" s="136"/>
      <c r="O8" s="137"/>
      <c r="S8" s="6"/>
      <c r="T8" s="2" t="s">
        <v>106</v>
      </c>
      <c r="Z8" s="48" t="s">
        <v>5</v>
      </c>
      <c r="AA8" s="90"/>
      <c r="AB8" s="106"/>
      <c r="AC8" s="106"/>
      <c r="AD8" s="107"/>
    </row>
    <row r="9" spans="1:30" ht="15" customHeight="1" x14ac:dyDescent="0.25">
      <c r="A9" s="81"/>
      <c r="B9" s="57"/>
      <c r="C9" s="57"/>
      <c r="D9" s="57"/>
      <c r="E9" s="130"/>
      <c r="F9" s="133"/>
      <c r="G9" s="133"/>
      <c r="H9" s="133"/>
      <c r="I9" s="133"/>
      <c r="J9" s="133"/>
      <c r="K9" s="133"/>
      <c r="L9" s="133"/>
      <c r="M9" s="133"/>
      <c r="N9" s="133"/>
      <c r="O9" s="134"/>
      <c r="P9" s="57"/>
      <c r="Q9" s="57"/>
      <c r="R9" s="57"/>
      <c r="S9" s="6"/>
      <c r="T9" s="2">
        <v>2017</v>
      </c>
      <c r="Z9" s="44" t="s">
        <v>8</v>
      </c>
      <c r="AA9" s="91">
        <v>3</v>
      </c>
      <c r="AB9" s="108"/>
      <c r="AC9" s="108"/>
      <c r="AD9" s="109"/>
    </row>
    <row r="10" spans="1:30" x14ac:dyDescent="0.25">
      <c r="A10" s="81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6"/>
      <c r="Z10" s="44" t="s">
        <v>7</v>
      </c>
      <c r="AA10" s="91">
        <v>2</v>
      </c>
      <c r="AB10" s="108"/>
      <c r="AC10" s="108"/>
      <c r="AD10" s="109"/>
    </row>
    <row r="11" spans="1:30" ht="15" customHeight="1" x14ac:dyDescent="0.25">
      <c r="A11" s="81"/>
      <c r="B11" s="118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6"/>
      <c r="Z11" s="44" t="s">
        <v>41</v>
      </c>
      <c r="AA11" s="91"/>
      <c r="AB11" s="108"/>
      <c r="AC11" s="108"/>
      <c r="AD11" s="109"/>
    </row>
    <row r="12" spans="1:30" ht="15" customHeight="1" x14ac:dyDescent="0.25">
      <c r="A12" s="81"/>
      <c r="B12" s="118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6"/>
      <c r="Z12" s="44" t="s">
        <v>40</v>
      </c>
      <c r="AA12" s="91"/>
      <c r="AB12" s="108"/>
      <c r="AC12" s="108"/>
      <c r="AD12" s="109"/>
    </row>
    <row r="13" spans="1:30" ht="15" customHeight="1" x14ac:dyDescent="0.25">
      <c r="A13" s="81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6"/>
      <c r="T13" s="12"/>
      <c r="Z13" s="44" t="s">
        <v>1</v>
      </c>
      <c r="AA13" s="91"/>
      <c r="AB13" s="108"/>
      <c r="AC13" s="108"/>
      <c r="AD13" s="109"/>
    </row>
    <row r="14" spans="1:30" ht="15" customHeight="1" x14ac:dyDescent="0.25">
      <c r="A14" s="81"/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6"/>
      <c r="T14" s="11"/>
      <c r="Z14" s="96" t="s">
        <v>356</v>
      </c>
      <c r="AA14" s="94"/>
      <c r="AB14" s="110"/>
      <c r="AC14" s="110"/>
      <c r="AD14" s="111"/>
    </row>
    <row r="15" spans="1:30" ht="15" customHeight="1" x14ac:dyDescent="0.25">
      <c r="A15" s="81"/>
      <c r="B15" s="118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6"/>
      <c r="Z15" s="45" t="s">
        <v>353</v>
      </c>
      <c r="AA15" s="98"/>
      <c r="AB15" s="99"/>
      <c r="AC15" s="100"/>
      <c r="AD15" s="101"/>
    </row>
    <row r="16" spans="1:30" ht="15" customHeight="1" x14ac:dyDescent="0.25">
      <c r="A16" s="81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6"/>
      <c r="Z16" s="45" t="s">
        <v>185</v>
      </c>
      <c r="AA16" s="98"/>
      <c r="AB16" s="99"/>
      <c r="AC16" s="100"/>
      <c r="AD16" s="101">
        <v>1</v>
      </c>
    </row>
    <row r="17" spans="1:30" x14ac:dyDescent="0.25">
      <c r="A17" s="81"/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6"/>
      <c r="Z17" s="45" t="s">
        <v>210</v>
      </c>
      <c r="AA17" s="98"/>
      <c r="AB17" s="99"/>
      <c r="AC17" s="100"/>
      <c r="AD17" s="101">
        <v>1</v>
      </c>
    </row>
    <row r="18" spans="1:30" x14ac:dyDescent="0.25">
      <c r="A18" s="81"/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6"/>
      <c r="Z18" s="45" t="s">
        <v>354</v>
      </c>
      <c r="AA18" s="98"/>
      <c r="AB18" s="99"/>
      <c r="AC18" s="100"/>
      <c r="AD18" s="101"/>
    </row>
    <row r="19" spans="1:30" x14ac:dyDescent="0.25">
      <c r="A19" s="81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6"/>
      <c r="Z19" s="45" t="s">
        <v>46</v>
      </c>
      <c r="AA19" s="98"/>
      <c r="AB19" s="99"/>
      <c r="AC19" s="100"/>
      <c r="AD19" s="101"/>
    </row>
    <row r="20" spans="1:30" x14ac:dyDescent="0.25">
      <c r="A20" s="81"/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6"/>
      <c r="Z20" s="45" t="s">
        <v>204</v>
      </c>
      <c r="AA20" s="98"/>
      <c r="AB20" s="99"/>
      <c r="AC20" s="100"/>
      <c r="AD20" s="101">
        <v>3</v>
      </c>
    </row>
    <row r="21" spans="1:30" x14ac:dyDescent="0.25">
      <c r="A21" s="81"/>
      <c r="B21" s="118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6"/>
      <c r="Z21" s="45" t="s">
        <v>143</v>
      </c>
      <c r="AA21" s="98"/>
      <c r="AB21" s="99"/>
      <c r="AC21" s="100"/>
      <c r="AD21" s="101">
        <v>6</v>
      </c>
    </row>
    <row r="22" spans="1:30" x14ac:dyDescent="0.25">
      <c r="A22" s="81"/>
      <c r="B22" s="118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6"/>
      <c r="Z22" s="45" t="s">
        <v>147</v>
      </c>
      <c r="AA22" s="98"/>
      <c r="AB22" s="99"/>
      <c r="AC22" s="100"/>
      <c r="AD22" s="101">
        <v>5</v>
      </c>
    </row>
    <row r="23" spans="1:30" x14ac:dyDescent="0.25">
      <c r="A23" s="81"/>
      <c r="B23" s="118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6"/>
      <c r="Z23" s="45" t="s">
        <v>57</v>
      </c>
      <c r="AA23" s="98"/>
      <c r="AB23" s="99"/>
      <c r="AC23" s="100"/>
      <c r="AD23" s="101">
        <v>4</v>
      </c>
    </row>
    <row r="24" spans="1:30" x14ac:dyDescent="0.25">
      <c r="A24" s="81"/>
      <c r="B24" s="11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6"/>
      <c r="Z24" s="46" t="s">
        <v>52</v>
      </c>
      <c r="AA24" s="98"/>
      <c r="AB24" s="99"/>
      <c r="AC24" s="100"/>
      <c r="AD24" s="101">
        <v>1</v>
      </c>
    </row>
    <row r="25" spans="1:30" x14ac:dyDescent="0.25">
      <c r="A25" s="81"/>
      <c r="B25" s="118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6"/>
      <c r="Z25" s="46"/>
      <c r="AA25" s="98"/>
      <c r="AB25" s="99"/>
      <c r="AC25" s="100"/>
      <c r="AD25" s="101"/>
    </row>
    <row r="26" spans="1:30" x14ac:dyDescent="0.25">
      <c r="A26" s="81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6"/>
      <c r="Z26" s="46"/>
      <c r="AA26" s="92"/>
      <c r="AB26" s="100"/>
      <c r="AC26" s="100"/>
      <c r="AD26" s="101"/>
    </row>
    <row r="27" spans="1:30" x14ac:dyDescent="0.25">
      <c r="A27" s="81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6"/>
      <c r="Z27" s="46"/>
      <c r="AA27" s="92"/>
      <c r="AB27" s="100"/>
      <c r="AC27" s="100"/>
      <c r="AD27" s="101"/>
    </row>
    <row r="28" spans="1:30" x14ac:dyDescent="0.25">
      <c r="A28" s="81"/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6"/>
      <c r="Z28" s="97"/>
      <c r="AA28" s="92" t="s">
        <v>8</v>
      </c>
      <c r="AB28" s="100" t="s">
        <v>7</v>
      </c>
      <c r="AC28" s="100" t="s">
        <v>41</v>
      </c>
      <c r="AD28" s="101" t="s">
        <v>479</v>
      </c>
    </row>
    <row r="29" spans="1:30" x14ac:dyDescent="0.25">
      <c r="A29" s="81"/>
      <c r="B29" s="118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6"/>
      <c r="Z29" s="46"/>
      <c r="AA29" s="92"/>
      <c r="AB29" s="100"/>
      <c r="AC29" s="100"/>
      <c r="AD29" s="101"/>
    </row>
    <row r="30" spans="1:30" x14ac:dyDescent="0.25">
      <c r="A30" s="81"/>
      <c r="B30" s="118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6"/>
      <c r="Z30" s="46"/>
      <c r="AA30" s="92"/>
      <c r="AB30" s="100"/>
      <c r="AC30" s="100"/>
      <c r="AD30" s="101"/>
    </row>
    <row r="31" spans="1:30" x14ac:dyDescent="0.25">
      <c r="A31" s="81"/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6"/>
      <c r="Z31" s="46"/>
      <c r="AA31" s="92"/>
      <c r="AB31" s="100"/>
      <c r="AC31" s="100"/>
      <c r="AD31" s="101"/>
    </row>
    <row r="32" spans="1:30" x14ac:dyDescent="0.25">
      <c r="A32" s="81"/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6"/>
      <c r="Z32" s="46"/>
      <c r="AA32" s="92"/>
      <c r="AB32" s="100"/>
      <c r="AC32" s="100"/>
      <c r="AD32" s="101"/>
    </row>
    <row r="33" spans="1:30" x14ac:dyDescent="0.25">
      <c r="A33" s="81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6"/>
      <c r="Z33" s="46"/>
      <c r="AA33" s="92"/>
      <c r="AB33" s="100"/>
      <c r="AC33" s="100"/>
      <c r="AD33" s="101"/>
    </row>
    <row r="34" spans="1:30" x14ac:dyDescent="0.25">
      <c r="A34" s="81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6"/>
      <c r="Z34" s="97"/>
      <c r="AA34" s="92"/>
      <c r="AB34" s="100"/>
      <c r="AC34" s="100"/>
      <c r="AD34" s="101"/>
    </row>
    <row r="35" spans="1:30" x14ac:dyDescent="0.25">
      <c r="A35" s="81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6"/>
      <c r="Z35" s="46"/>
      <c r="AA35" s="92"/>
      <c r="AB35" s="100"/>
      <c r="AC35" s="100"/>
      <c r="AD35" s="101"/>
    </row>
    <row r="36" spans="1:30" x14ac:dyDescent="0.25">
      <c r="A36" s="81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6"/>
      <c r="Z36" s="46"/>
      <c r="AA36" s="92"/>
      <c r="AB36" s="100"/>
      <c r="AC36" s="100"/>
      <c r="AD36" s="101"/>
    </row>
    <row r="37" spans="1:30" x14ac:dyDescent="0.25">
      <c r="A37" s="81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6"/>
      <c r="Z37" s="46"/>
      <c r="AA37" s="92"/>
      <c r="AB37" s="100"/>
      <c r="AC37" s="100"/>
      <c r="AD37" s="101"/>
    </row>
    <row r="38" spans="1:30" x14ac:dyDescent="0.25">
      <c r="A38" s="81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6"/>
      <c r="Z38" s="46"/>
      <c r="AA38" s="92"/>
      <c r="AB38" s="100"/>
      <c r="AC38" s="100"/>
      <c r="AD38" s="101"/>
    </row>
    <row r="39" spans="1:30" ht="15.75" thickBot="1" x14ac:dyDescent="0.3">
      <c r="A39" s="81"/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6"/>
      <c r="Z39" s="47"/>
      <c r="AA39" s="93"/>
      <c r="AB39" s="112"/>
      <c r="AC39" s="112"/>
      <c r="AD39" s="113"/>
    </row>
    <row r="40" spans="1:30" x14ac:dyDescent="0.25">
      <c r="A40" s="81"/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6"/>
    </row>
    <row r="41" spans="1:30" x14ac:dyDescent="0.25">
      <c r="A41" s="81"/>
      <c r="B41" s="118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6"/>
    </row>
    <row r="42" spans="1:30" x14ac:dyDescent="0.25">
      <c r="A42" s="5"/>
      <c r="B42" s="118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6"/>
    </row>
    <row r="43" spans="1:30" x14ac:dyDescent="0.25">
      <c r="A43" s="5"/>
      <c r="B43" s="118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6"/>
    </row>
    <row r="44" spans="1:30" x14ac:dyDescent="0.25">
      <c r="A44" s="5"/>
      <c r="B44" s="118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6"/>
    </row>
    <row r="45" spans="1:30" x14ac:dyDescent="0.25">
      <c r="A45" s="5"/>
      <c r="B45" s="118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8"/>
      <c r="Q45" s="118"/>
      <c r="R45" s="118"/>
      <c r="S45" s="6"/>
    </row>
    <row r="46" spans="1:30" x14ac:dyDescent="0.25">
      <c r="A46" s="15"/>
      <c r="B46" s="118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6"/>
    </row>
    <row r="47" spans="1:30" ht="15" customHeight="1" x14ac:dyDescent="0.25">
      <c r="A47" s="14"/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6"/>
    </row>
    <row r="48" spans="1:30" ht="15" customHeight="1" x14ac:dyDescent="0.25">
      <c r="A48" s="14"/>
      <c r="B48" s="118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6"/>
    </row>
    <row r="49" spans="1:19" ht="15" customHeight="1" x14ac:dyDescent="0.25">
      <c r="A49" s="14"/>
      <c r="B49" s="118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6"/>
    </row>
    <row r="50" spans="1:19" ht="15" customHeight="1" x14ac:dyDescent="0.25">
      <c r="A50" s="80"/>
      <c r="B50" s="54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6"/>
    </row>
    <row r="51" spans="1:19" ht="15" customHeight="1" x14ac:dyDescent="0.25">
      <c r="A51" s="80"/>
      <c r="B51" s="59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"/>
    </row>
    <row r="52" spans="1:19" ht="15" customHeight="1" x14ac:dyDescent="0.25">
      <c r="A52" s="80"/>
      <c r="B52" s="54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6"/>
    </row>
    <row r="53" spans="1:19" x14ac:dyDescent="0.25">
      <c r="A53" s="15"/>
      <c r="S53" s="6"/>
    </row>
    <row r="54" spans="1:19" ht="15" customHeight="1" x14ac:dyDescent="0.25">
      <c r="A54" s="127" t="s">
        <v>163</v>
      </c>
      <c r="B54" s="118"/>
      <c r="C54" s="118"/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6"/>
    </row>
    <row r="55" spans="1:19" x14ac:dyDescent="0.25">
      <c r="A55" s="127"/>
      <c r="B55" s="118"/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6"/>
    </row>
    <row r="56" spans="1:19" x14ac:dyDescent="0.25">
      <c r="A56" s="127"/>
      <c r="B56" s="118"/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6"/>
    </row>
    <row r="57" spans="1:19" x14ac:dyDescent="0.25">
      <c r="A57" s="127"/>
      <c r="B57" s="118"/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6"/>
    </row>
    <row r="58" spans="1:19" x14ac:dyDescent="0.25">
      <c r="A58" s="127"/>
      <c r="B58" s="118"/>
      <c r="C58" s="118"/>
      <c r="D58" s="118"/>
      <c r="E58" s="118"/>
      <c r="F58" s="118"/>
      <c r="G58" s="118"/>
      <c r="H58" s="118"/>
      <c r="I58" s="118"/>
      <c r="J58" s="118"/>
      <c r="K58" s="118"/>
      <c r="L58" s="118"/>
      <c r="M58" s="118"/>
      <c r="N58" s="118"/>
      <c r="O58" s="118"/>
      <c r="P58" s="118"/>
      <c r="Q58" s="118"/>
      <c r="R58" s="118"/>
      <c r="S58" s="6"/>
    </row>
    <row r="59" spans="1:19" x14ac:dyDescent="0.25">
      <c r="A59" s="127"/>
      <c r="B59" s="118"/>
      <c r="C59" s="118"/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6"/>
    </row>
    <row r="60" spans="1:19" x14ac:dyDescent="0.25">
      <c r="A60" s="127"/>
      <c r="B60" s="118"/>
      <c r="C60" s="118"/>
      <c r="D60" s="118"/>
      <c r="E60" s="118"/>
      <c r="F60" s="118"/>
      <c r="G60" s="118"/>
      <c r="H60" s="118"/>
      <c r="I60" s="118"/>
      <c r="J60" s="118"/>
      <c r="K60" s="118"/>
      <c r="L60" s="118"/>
      <c r="M60" s="118"/>
      <c r="N60" s="118"/>
      <c r="O60" s="118"/>
      <c r="P60" s="118"/>
      <c r="Q60" s="118"/>
      <c r="R60" s="118"/>
      <c r="S60" s="6"/>
    </row>
    <row r="61" spans="1:19" x14ac:dyDescent="0.25">
      <c r="A61" s="127"/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6"/>
    </row>
    <row r="62" spans="1:19" x14ac:dyDescent="0.25">
      <c r="A62" s="127"/>
      <c r="B62" s="118"/>
      <c r="C62" s="118"/>
      <c r="D62" s="118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6"/>
    </row>
    <row r="63" spans="1:19" x14ac:dyDescent="0.25">
      <c r="A63" s="127"/>
      <c r="B63" s="118"/>
      <c r="C63" s="118"/>
      <c r="D63" s="118"/>
      <c r="E63" s="118"/>
      <c r="F63" s="118"/>
      <c r="G63" s="118"/>
      <c r="H63" s="118"/>
      <c r="I63" s="118"/>
      <c r="J63" s="118"/>
      <c r="K63" s="118"/>
      <c r="L63" s="118"/>
      <c r="M63" s="118"/>
      <c r="N63" s="118"/>
      <c r="O63" s="118"/>
      <c r="P63" s="118"/>
      <c r="Q63" s="118"/>
      <c r="R63" s="118"/>
      <c r="S63" s="6"/>
    </row>
    <row r="64" spans="1:19" x14ac:dyDescent="0.25">
      <c r="A64" s="127"/>
      <c r="B64" s="118"/>
      <c r="C64" s="118"/>
      <c r="D64" s="118"/>
      <c r="E64" s="118"/>
      <c r="F64" s="118"/>
      <c r="G64" s="118"/>
      <c r="H64" s="118"/>
      <c r="I64" s="118"/>
      <c r="J64" s="118"/>
      <c r="K64" s="118"/>
      <c r="L64" s="118"/>
      <c r="M64" s="118"/>
      <c r="N64" s="118"/>
      <c r="O64" s="118"/>
      <c r="P64" s="118"/>
      <c r="Q64" s="118"/>
      <c r="R64" s="118"/>
      <c r="S64" s="6"/>
    </row>
    <row r="65" spans="1:19" x14ac:dyDescent="0.25">
      <c r="A65" s="127"/>
      <c r="B65" s="118"/>
      <c r="C65" s="118"/>
      <c r="D65" s="118"/>
      <c r="E65" s="118"/>
      <c r="F65" s="118"/>
      <c r="G65" s="118"/>
      <c r="H65" s="118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6"/>
    </row>
    <row r="66" spans="1:19" x14ac:dyDescent="0.25">
      <c r="A66" s="127"/>
      <c r="B66" s="118"/>
      <c r="C66" s="118"/>
      <c r="D66" s="118"/>
      <c r="E66" s="118"/>
      <c r="F66" s="118"/>
      <c r="G66" s="118"/>
      <c r="H66" s="118"/>
      <c r="I66" s="118"/>
      <c r="J66" s="118"/>
      <c r="K66" s="118"/>
      <c r="L66" s="118"/>
      <c r="M66" s="118"/>
      <c r="N66" s="118"/>
      <c r="O66" s="118"/>
      <c r="P66" s="118"/>
      <c r="Q66" s="118"/>
      <c r="R66" s="118"/>
      <c r="S66" s="6"/>
    </row>
    <row r="67" spans="1:19" x14ac:dyDescent="0.25">
      <c r="A67" s="127"/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6"/>
    </row>
    <row r="68" spans="1:19" x14ac:dyDescent="0.25">
      <c r="A68" s="127"/>
      <c r="B68" s="118"/>
      <c r="C68" s="118"/>
      <c r="D68" s="118"/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118"/>
      <c r="Q68" s="118"/>
      <c r="R68" s="118"/>
      <c r="S68" s="6"/>
    </row>
    <row r="69" spans="1:19" x14ac:dyDescent="0.25">
      <c r="A69" s="127"/>
      <c r="B69" s="118"/>
      <c r="C69" s="118"/>
      <c r="D69" s="118"/>
      <c r="E69" s="118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118"/>
      <c r="Q69" s="118"/>
      <c r="R69" s="118"/>
      <c r="S69" s="6"/>
    </row>
    <row r="70" spans="1:19" x14ac:dyDescent="0.25">
      <c r="A70" s="127"/>
      <c r="B70" s="118"/>
      <c r="C70" s="118"/>
      <c r="D70" s="118"/>
      <c r="E70" s="118"/>
      <c r="F70" s="118"/>
      <c r="G70" s="118"/>
      <c r="H70" s="118"/>
      <c r="I70" s="118"/>
      <c r="J70" s="118"/>
      <c r="K70" s="118"/>
      <c r="L70" s="118"/>
      <c r="M70" s="118"/>
      <c r="N70" s="118"/>
      <c r="O70" s="118"/>
      <c r="P70" s="118"/>
      <c r="Q70" s="118"/>
      <c r="R70" s="118"/>
      <c r="S70" s="6"/>
    </row>
    <row r="71" spans="1:19" x14ac:dyDescent="0.25">
      <c r="A71" s="127"/>
      <c r="B71" s="118"/>
      <c r="C71" s="118"/>
      <c r="D71" s="118"/>
      <c r="E71" s="118"/>
      <c r="F71" s="118"/>
      <c r="G71" s="118"/>
      <c r="H71" s="118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6"/>
    </row>
    <row r="72" spans="1:19" x14ac:dyDescent="0.25">
      <c r="A72" s="127"/>
      <c r="B72" s="118"/>
      <c r="C72" s="118"/>
      <c r="D72" s="118"/>
      <c r="E72" s="118"/>
      <c r="F72" s="118"/>
      <c r="G72" s="118"/>
      <c r="H72" s="118"/>
      <c r="I72" s="118"/>
      <c r="J72" s="118"/>
      <c r="K72" s="118"/>
      <c r="L72" s="118"/>
      <c r="M72" s="118"/>
      <c r="N72" s="118"/>
      <c r="O72" s="118"/>
      <c r="P72" s="118"/>
      <c r="Q72" s="118"/>
      <c r="R72" s="118"/>
      <c r="S72" s="6"/>
    </row>
    <row r="73" spans="1:19" x14ac:dyDescent="0.25">
      <c r="A73" s="127"/>
      <c r="B73" s="118"/>
      <c r="C73" s="118"/>
      <c r="D73" s="118"/>
      <c r="E73" s="118"/>
      <c r="F73" s="118"/>
      <c r="G73" s="118"/>
      <c r="H73" s="118"/>
      <c r="I73" s="118"/>
      <c r="J73" s="118"/>
      <c r="K73" s="118"/>
      <c r="L73" s="118"/>
      <c r="M73" s="118"/>
      <c r="N73" s="118"/>
      <c r="O73" s="118"/>
      <c r="P73" s="118"/>
      <c r="Q73" s="118"/>
      <c r="R73" s="118"/>
      <c r="S73" s="6"/>
    </row>
    <row r="74" spans="1:19" x14ac:dyDescent="0.25">
      <c r="A74" s="127"/>
      <c r="B74" s="118"/>
      <c r="C74" s="118"/>
      <c r="D74" s="118"/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6"/>
    </row>
    <row r="75" spans="1:19" x14ac:dyDescent="0.25">
      <c r="A75" s="127"/>
      <c r="B75" s="118"/>
      <c r="C75" s="118"/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6"/>
    </row>
    <row r="76" spans="1:19" x14ac:dyDescent="0.25">
      <c r="A76" s="127"/>
      <c r="B76" s="118"/>
      <c r="C76" s="118"/>
      <c r="D76" s="118"/>
      <c r="E76" s="118"/>
      <c r="F76" s="118"/>
      <c r="G76" s="118"/>
      <c r="H76" s="118"/>
      <c r="I76" s="118"/>
      <c r="J76" s="118"/>
      <c r="K76" s="118"/>
      <c r="L76" s="118"/>
      <c r="M76" s="118"/>
      <c r="N76" s="118"/>
      <c r="O76" s="118"/>
      <c r="P76" s="118"/>
      <c r="Q76" s="118"/>
      <c r="R76" s="118"/>
      <c r="S76" s="6"/>
    </row>
    <row r="77" spans="1:19" x14ac:dyDescent="0.25">
      <c r="A77" s="127"/>
      <c r="B77" s="118"/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6"/>
    </row>
    <row r="78" spans="1:19" x14ac:dyDescent="0.25">
      <c r="A78" s="127"/>
      <c r="B78" s="118"/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6"/>
    </row>
    <row r="79" spans="1:19" x14ac:dyDescent="0.25">
      <c r="A79" s="127"/>
      <c r="B79" s="118"/>
      <c r="C79" s="118"/>
      <c r="D79" s="118"/>
      <c r="E79" s="118"/>
      <c r="F79" s="118"/>
      <c r="G79" s="118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6"/>
    </row>
    <row r="80" spans="1:19" x14ac:dyDescent="0.25">
      <c r="A80" s="127"/>
      <c r="B80" s="118"/>
      <c r="C80" s="118"/>
      <c r="D80" s="118"/>
      <c r="E80" s="118"/>
      <c r="F80" s="118"/>
      <c r="G80" s="118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6"/>
    </row>
    <row r="81" spans="1:26" x14ac:dyDescent="0.25">
      <c r="A81" s="127"/>
      <c r="B81" s="118"/>
      <c r="C81" s="118"/>
      <c r="D81" s="118"/>
      <c r="E81" s="118"/>
      <c r="F81" s="118"/>
      <c r="G81" s="118"/>
      <c r="H81" s="118"/>
      <c r="I81" s="118"/>
      <c r="J81" s="118"/>
      <c r="K81" s="118"/>
      <c r="L81" s="118"/>
      <c r="M81" s="118"/>
      <c r="N81" s="118"/>
      <c r="O81" s="118"/>
      <c r="P81" s="118"/>
      <c r="Q81" s="118"/>
      <c r="R81" s="118"/>
      <c r="S81" s="6"/>
    </row>
    <row r="82" spans="1:26" x14ac:dyDescent="0.25">
      <c r="A82" s="127"/>
      <c r="B82" s="118"/>
      <c r="C82" s="118"/>
      <c r="D82" s="118"/>
      <c r="E82" s="118"/>
      <c r="F82" s="118"/>
      <c r="G82" s="118"/>
      <c r="H82" s="118"/>
      <c r="I82" s="118"/>
      <c r="J82" s="118"/>
      <c r="K82" s="118"/>
      <c r="L82" s="118"/>
      <c r="M82" s="118"/>
      <c r="N82" s="118"/>
      <c r="O82" s="118"/>
      <c r="P82" s="118"/>
      <c r="Q82" s="118"/>
      <c r="R82" s="118"/>
      <c r="S82" s="6"/>
    </row>
    <row r="83" spans="1:26" x14ac:dyDescent="0.25">
      <c r="A83" s="127"/>
      <c r="B83" s="118"/>
      <c r="C83" s="118"/>
      <c r="D83" s="118"/>
      <c r="E83" s="118"/>
      <c r="F83" s="118"/>
      <c r="G83" s="118"/>
      <c r="H83" s="118"/>
      <c r="I83" s="118"/>
      <c r="J83" s="118"/>
      <c r="K83" s="118"/>
      <c r="L83" s="118"/>
      <c r="M83" s="118"/>
      <c r="N83" s="118"/>
      <c r="O83" s="118"/>
      <c r="P83" s="118"/>
      <c r="Q83" s="118"/>
      <c r="R83" s="118"/>
      <c r="S83" s="6"/>
    </row>
    <row r="84" spans="1:26" x14ac:dyDescent="0.25">
      <c r="A84" s="127"/>
      <c r="B84" s="118"/>
      <c r="C84" s="118"/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118"/>
      <c r="Q84" s="118"/>
      <c r="R84" s="118"/>
      <c r="S84" s="6"/>
    </row>
    <row r="85" spans="1:26" x14ac:dyDescent="0.25">
      <c r="A85" s="127"/>
      <c r="B85" s="118"/>
      <c r="C85" s="118"/>
      <c r="D85" s="118"/>
      <c r="E85" s="118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118"/>
      <c r="Q85" s="118"/>
      <c r="R85" s="118"/>
      <c r="S85" s="6"/>
    </row>
    <row r="86" spans="1:26" x14ac:dyDescent="0.25">
      <c r="A86" s="127"/>
      <c r="B86" s="118"/>
      <c r="C86" s="118"/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8"/>
      <c r="Q86" s="118"/>
      <c r="R86" s="118"/>
      <c r="S86" s="6"/>
      <c r="Z86" s="30"/>
    </row>
    <row r="87" spans="1:26" x14ac:dyDescent="0.25">
      <c r="A87" s="127"/>
      <c r="B87" s="118"/>
      <c r="C87" s="118"/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118"/>
      <c r="Q87" s="118"/>
      <c r="R87" s="118"/>
      <c r="S87" s="6"/>
    </row>
    <row r="88" spans="1:26" x14ac:dyDescent="0.25">
      <c r="A88" s="127"/>
      <c r="B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6"/>
    </row>
    <row r="89" spans="1:26" x14ac:dyDescent="0.25">
      <c r="A89" s="127"/>
      <c r="B89" s="11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18"/>
      <c r="O89" s="118"/>
      <c r="P89" s="118"/>
      <c r="Q89" s="118"/>
      <c r="R89" s="118"/>
      <c r="S89" s="6"/>
    </row>
    <row r="90" spans="1:26" x14ac:dyDescent="0.25">
      <c r="A90" s="127"/>
      <c r="B90" s="118"/>
      <c r="C90" s="118"/>
      <c r="D90" s="118"/>
      <c r="E90" s="118"/>
      <c r="F90" s="118"/>
      <c r="G90" s="118"/>
      <c r="H90" s="118"/>
      <c r="I90" s="118"/>
      <c r="J90" s="118"/>
      <c r="K90" s="118"/>
      <c r="L90" s="118"/>
      <c r="M90" s="118"/>
      <c r="N90" s="118"/>
      <c r="O90" s="118"/>
      <c r="P90" s="118"/>
      <c r="Q90" s="118"/>
      <c r="R90" s="118"/>
      <c r="S90" s="76"/>
    </row>
    <row r="91" spans="1:26" x14ac:dyDescent="0.25">
      <c r="A91" s="127"/>
      <c r="B91" s="118"/>
      <c r="C91" s="118"/>
      <c r="D91" s="118"/>
      <c r="E91" s="118"/>
      <c r="F91" s="118"/>
      <c r="G91" s="118"/>
      <c r="H91" s="118"/>
      <c r="I91" s="118"/>
      <c r="J91" s="118"/>
      <c r="K91" s="118"/>
      <c r="L91" s="118"/>
      <c r="M91" s="118"/>
      <c r="N91" s="118"/>
      <c r="O91" s="118"/>
      <c r="P91" s="118"/>
      <c r="Q91" s="118"/>
      <c r="R91" s="118"/>
      <c r="S91" s="77"/>
    </row>
    <row r="92" spans="1:26" ht="15" customHeight="1" x14ac:dyDescent="0.25">
      <c r="A92" s="127"/>
      <c r="B92" s="118"/>
      <c r="C92" s="118"/>
      <c r="D92" s="118"/>
      <c r="E92" s="118"/>
      <c r="F92" s="118"/>
      <c r="G92" s="118"/>
      <c r="H92" s="118"/>
      <c r="I92" s="118"/>
      <c r="J92" s="118"/>
      <c r="K92" s="118"/>
      <c r="L92" s="118"/>
      <c r="M92" s="118"/>
      <c r="N92" s="118"/>
      <c r="O92" s="118"/>
      <c r="P92" s="118"/>
      <c r="Q92" s="118"/>
      <c r="R92" s="118"/>
      <c r="S92" s="77"/>
    </row>
    <row r="93" spans="1:26" ht="15" customHeight="1" x14ac:dyDescent="0.25">
      <c r="A93" s="14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77"/>
    </row>
    <row r="94" spans="1:26" ht="15" customHeight="1" x14ac:dyDescent="0.25">
      <c r="A94" s="14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77"/>
    </row>
    <row r="95" spans="1:26" ht="15" customHeight="1" x14ac:dyDescent="0.25">
      <c r="A95" s="80"/>
      <c r="B95" s="54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77"/>
    </row>
    <row r="96" spans="1:26" ht="15" customHeight="1" x14ac:dyDescent="0.25">
      <c r="A96" s="80"/>
      <c r="B96" s="54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77"/>
    </row>
    <row r="97" spans="1:19" ht="15" customHeight="1" x14ac:dyDescent="0.25">
      <c r="A97" s="80"/>
      <c r="B97" s="125"/>
      <c r="C97" s="125"/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77"/>
    </row>
    <row r="98" spans="1:19" ht="15" customHeight="1" x14ac:dyDescent="0.25">
      <c r="A98" s="82"/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77"/>
    </row>
    <row r="99" spans="1:19" ht="15" customHeight="1" x14ac:dyDescent="0.25">
      <c r="A99" s="128"/>
      <c r="B99" s="125"/>
      <c r="C99" s="125"/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6"/>
    </row>
    <row r="100" spans="1:19" ht="15" customHeight="1" x14ac:dyDescent="0.25">
      <c r="A100" s="128"/>
      <c r="B100" s="125"/>
      <c r="C100" s="125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6"/>
    </row>
    <row r="101" spans="1:19" ht="15" customHeight="1" x14ac:dyDescent="0.25">
      <c r="A101" s="128"/>
      <c r="B101" s="125"/>
      <c r="C101" s="125"/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6"/>
    </row>
    <row r="102" spans="1:19" ht="15" customHeight="1" x14ac:dyDescent="0.25">
      <c r="A102" s="128"/>
      <c r="B102" s="125"/>
      <c r="C102" s="125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6"/>
    </row>
    <row r="103" spans="1:19" ht="15" customHeight="1" x14ac:dyDescent="0.25">
      <c r="A103" s="128"/>
      <c r="B103" s="125"/>
      <c r="C103" s="125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6"/>
    </row>
    <row r="104" spans="1:19" ht="15" customHeight="1" x14ac:dyDescent="0.25">
      <c r="A104" s="128"/>
      <c r="B104" s="125"/>
      <c r="C104" s="125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6"/>
    </row>
    <row r="105" spans="1:19" ht="15" customHeight="1" x14ac:dyDescent="0.25">
      <c r="A105" s="128"/>
      <c r="B105" s="125"/>
      <c r="C105" s="125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6"/>
    </row>
    <row r="106" spans="1:19" ht="15" customHeight="1" x14ac:dyDescent="0.25">
      <c r="A106" s="128"/>
      <c r="B106" s="125"/>
      <c r="C106" s="125"/>
      <c r="D106" s="125"/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6"/>
    </row>
    <row r="107" spans="1:19" ht="15" customHeight="1" x14ac:dyDescent="0.25">
      <c r="A107" s="128"/>
      <c r="B107" s="125"/>
      <c r="C107" s="125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6"/>
    </row>
    <row r="108" spans="1:19" ht="15" customHeight="1" x14ac:dyDescent="0.25">
      <c r="A108" s="128"/>
      <c r="B108" s="125"/>
      <c r="C108" s="125"/>
      <c r="D108" s="125"/>
      <c r="E108" s="125"/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6"/>
    </row>
    <row r="109" spans="1:19" ht="15" customHeight="1" x14ac:dyDescent="0.25">
      <c r="A109" s="128"/>
      <c r="B109" s="125"/>
      <c r="C109" s="125"/>
      <c r="D109" s="125"/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6"/>
    </row>
    <row r="110" spans="1:19" ht="15" customHeight="1" x14ac:dyDescent="0.25">
      <c r="A110" s="128"/>
      <c r="B110" s="125"/>
      <c r="C110" s="125"/>
      <c r="D110" s="125"/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6"/>
    </row>
    <row r="111" spans="1:19" ht="15" customHeight="1" x14ac:dyDescent="0.25">
      <c r="A111" s="128"/>
      <c r="B111" s="125"/>
      <c r="C111" s="125"/>
      <c r="D111" s="125"/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6"/>
    </row>
    <row r="112" spans="1:19" ht="15" customHeight="1" x14ac:dyDescent="0.25">
      <c r="A112" s="128"/>
      <c r="B112" s="125"/>
      <c r="C112" s="125"/>
      <c r="D112" s="125"/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6"/>
    </row>
    <row r="113" spans="1:19" ht="15" customHeight="1" x14ac:dyDescent="0.25">
      <c r="A113" s="128"/>
      <c r="B113" s="125"/>
      <c r="C113" s="125"/>
      <c r="D113" s="125"/>
      <c r="E113" s="125"/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6"/>
    </row>
    <row r="114" spans="1:19" ht="15" customHeight="1" x14ac:dyDescent="0.25">
      <c r="A114" s="128"/>
      <c r="B114" s="125"/>
      <c r="C114" s="125"/>
      <c r="D114" s="125"/>
      <c r="E114" s="125"/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6"/>
    </row>
    <row r="115" spans="1:19" ht="15" customHeight="1" x14ac:dyDescent="0.25">
      <c r="A115" s="128"/>
      <c r="B115" s="125"/>
      <c r="C115" s="125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6"/>
    </row>
    <row r="116" spans="1:19" ht="15" customHeight="1" x14ac:dyDescent="0.25">
      <c r="A116" s="128"/>
      <c r="B116" s="125"/>
      <c r="C116" s="125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6"/>
    </row>
    <row r="117" spans="1:19" ht="15" customHeight="1" x14ac:dyDescent="0.25">
      <c r="A117" s="128"/>
      <c r="B117" s="125"/>
      <c r="C117" s="125"/>
      <c r="D117" s="125"/>
      <c r="E117" s="125"/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6"/>
    </row>
    <row r="118" spans="1:19" ht="15" customHeight="1" x14ac:dyDescent="0.25">
      <c r="A118" s="128"/>
      <c r="B118" s="125"/>
      <c r="C118" s="125"/>
      <c r="D118" s="125"/>
      <c r="E118" s="125"/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6"/>
    </row>
    <row r="119" spans="1:19" ht="15" customHeight="1" x14ac:dyDescent="0.25">
      <c r="A119" s="128"/>
      <c r="B119" s="125"/>
      <c r="C119" s="125"/>
      <c r="D119" s="125"/>
      <c r="E119" s="125"/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6"/>
    </row>
    <row r="120" spans="1:19" ht="15" customHeight="1" x14ac:dyDescent="0.25">
      <c r="A120" s="128"/>
      <c r="B120" s="125"/>
      <c r="C120" s="125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6"/>
    </row>
    <row r="121" spans="1:19" ht="15" customHeight="1" x14ac:dyDescent="0.25">
      <c r="A121" s="128"/>
      <c r="B121" s="125"/>
      <c r="C121" s="125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6"/>
    </row>
    <row r="122" spans="1:19" ht="15" customHeight="1" x14ac:dyDescent="0.25">
      <c r="A122" s="128"/>
      <c r="B122" s="125"/>
      <c r="C122" s="125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6"/>
    </row>
    <row r="123" spans="1:19" ht="15" customHeight="1" x14ac:dyDescent="0.25">
      <c r="A123" s="128"/>
      <c r="B123" s="125"/>
      <c r="C123" s="125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6"/>
    </row>
    <row r="124" spans="1:19" ht="15" customHeight="1" x14ac:dyDescent="0.25">
      <c r="A124" s="128"/>
      <c r="B124" s="125"/>
      <c r="C124" s="125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6"/>
    </row>
    <row r="125" spans="1:19" ht="15" customHeight="1" x14ac:dyDescent="0.25">
      <c r="A125" s="128"/>
      <c r="B125" s="125"/>
      <c r="C125" s="125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6"/>
    </row>
    <row r="126" spans="1:19" ht="15" customHeight="1" x14ac:dyDescent="0.25">
      <c r="A126" s="128"/>
      <c r="B126" s="125"/>
      <c r="C126" s="125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6"/>
    </row>
    <row r="127" spans="1:19" ht="15" customHeight="1" x14ac:dyDescent="0.25">
      <c r="A127" s="128"/>
      <c r="B127" s="125"/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6"/>
    </row>
    <row r="128" spans="1:19" ht="15" customHeight="1" x14ac:dyDescent="0.25">
      <c r="A128" s="128"/>
      <c r="B128" s="125"/>
      <c r="C128" s="125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6"/>
    </row>
    <row r="129" spans="1:27" ht="15" customHeight="1" x14ac:dyDescent="0.25">
      <c r="A129" s="128"/>
      <c r="B129" s="125"/>
      <c r="C129" s="125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6"/>
    </row>
    <row r="130" spans="1:27" ht="15" customHeight="1" x14ac:dyDescent="0.25">
      <c r="A130" s="128"/>
      <c r="B130" s="125"/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6"/>
    </row>
    <row r="131" spans="1:27" ht="15" customHeight="1" x14ac:dyDescent="0.25">
      <c r="A131" s="128"/>
      <c r="B131" s="125"/>
      <c r="C131" s="125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6"/>
    </row>
    <row r="132" spans="1:27" ht="15" customHeight="1" x14ac:dyDescent="0.25">
      <c r="A132" s="5"/>
      <c r="B132" s="125"/>
      <c r="C132" s="125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6"/>
    </row>
    <row r="133" spans="1:27" ht="15" customHeight="1" x14ac:dyDescent="0.25">
      <c r="A133" s="5"/>
      <c r="B133" s="125"/>
      <c r="C133" s="125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6"/>
    </row>
    <row r="134" spans="1:27" ht="15" customHeight="1" x14ac:dyDescent="0.25">
      <c r="A134" s="5"/>
      <c r="B134" s="125"/>
      <c r="C134" s="125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6"/>
    </row>
    <row r="135" spans="1:27" ht="15" customHeight="1" x14ac:dyDescent="0.25">
      <c r="A135" s="5"/>
      <c r="B135" s="125"/>
      <c r="C135" s="125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6"/>
    </row>
    <row r="136" spans="1:27" x14ac:dyDescent="0.25">
      <c r="A136" s="15"/>
      <c r="S136" s="6"/>
    </row>
    <row r="137" spans="1:27" ht="15" customHeight="1" x14ac:dyDescent="0.25">
      <c r="A137" s="14"/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6"/>
    </row>
    <row r="138" spans="1:27" ht="15" customHeight="1" x14ac:dyDescent="0.25">
      <c r="A138" s="14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6"/>
    </row>
    <row r="139" spans="1:27" ht="15" customHeight="1" x14ac:dyDescent="0.25">
      <c r="A139" s="14"/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6"/>
    </row>
    <row r="140" spans="1:27" ht="15" customHeight="1" x14ac:dyDescent="0.25">
      <c r="A140" s="80"/>
      <c r="B140" s="54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76"/>
    </row>
    <row r="141" spans="1:27" ht="15" customHeight="1" x14ac:dyDescent="0.25">
      <c r="A141" s="80"/>
      <c r="B141" s="54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76"/>
    </row>
    <row r="142" spans="1:27" ht="15" customHeight="1" x14ac:dyDescent="0.25">
      <c r="A142" s="83"/>
      <c r="B142" s="59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78"/>
    </row>
    <row r="143" spans="1:27" x14ac:dyDescent="0.25">
      <c r="G143" s="30"/>
      <c r="AA143" s="2"/>
    </row>
    <row r="144" spans="1:27" ht="15" customHeight="1" x14ac:dyDescent="0.25">
      <c r="G144" s="30"/>
      <c r="AA144" s="2"/>
    </row>
    <row r="145" spans="7:27" x14ac:dyDescent="0.25">
      <c r="G145" s="30"/>
      <c r="AA145" s="2"/>
    </row>
    <row r="146" spans="7:27" x14ac:dyDescent="0.25">
      <c r="G146" s="30"/>
      <c r="AA146" s="2"/>
    </row>
    <row r="147" spans="7:27" x14ac:dyDescent="0.25">
      <c r="G147" s="30"/>
      <c r="AA147" s="2"/>
    </row>
    <row r="148" spans="7:27" x14ac:dyDescent="0.25">
      <c r="G148" s="30"/>
      <c r="AA148" s="2"/>
    </row>
    <row r="149" spans="7:27" x14ac:dyDescent="0.25">
      <c r="G149" s="30"/>
      <c r="AA149" s="2"/>
    </row>
    <row r="150" spans="7:27" x14ac:dyDescent="0.25">
      <c r="G150" s="30"/>
      <c r="AA150" s="2"/>
    </row>
    <row r="151" spans="7:27" x14ac:dyDescent="0.25">
      <c r="G151" s="30"/>
      <c r="AA151" s="2"/>
    </row>
    <row r="152" spans="7:27" x14ac:dyDescent="0.25">
      <c r="G152" s="30"/>
      <c r="AA152" s="2"/>
    </row>
    <row r="153" spans="7:27" x14ac:dyDescent="0.25">
      <c r="G153" s="30"/>
      <c r="AA153" s="2"/>
    </row>
    <row r="154" spans="7:27" x14ac:dyDescent="0.25">
      <c r="G154" s="30"/>
      <c r="AA154" s="2"/>
    </row>
    <row r="155" spans="7:27" x14ac:dyDescent="0.25">
      <c r="G155" s="30"/>
      <c r="AA155" s="2"/>
    </row>
    <row r="156" spans="7:27" x14ac:dyDescent="0.25">
      <c r="G156" s="30"/>
      <c r="AA156" s="2"/>
    </row>
    <row r="157" spans="7:27" x14ac:dyDescent="0.25">
      <c r="G157" s="30"/>
      <c r="AA157" s="2"/>
    </row>
    <row r="158" spans="7:27" x14ac:dyDescent="0.25">
      <c r="G158" s="30"/>
      <c r="AA158" s="2"/>
    </row>
    <row r="159" spans="7:27" x14ac:dyDescent="0.25">
      <c r="G159" s="30"/>
      <c r="AA159" s="2"/>
    </row>
    <row r="160" spans="7:27" x14ac:dyDescent="0.25">
      <c r="G160" s="30"/>
      <c r="AA160" s="2"/>
    </row>
    <row r="161" spans="7:27" x14ac:dyDescent="0.25">
      <c r="G161" s="30"/>
      <c r="AA161" s="2"/>
    </row>
    <row r="162" spans="7:27" x14ac:dyDescent="0.25">
      <c r="G162" s="30"/>
      <c r="AA162" s="2"/>
    </row>
    <row r="163" spans="7:27" x14ac:dyDescent="0.25">
      <c r="G163" s="30"/>
      <c r="AA163" s="2"/>
    </row>
    <row r="164" spans="7:27" x14ac:dyDescent="0.25">
      <c r="G164" s="30"/>
      <c r="AA164" s="2"/>
    </row>
    <row r="165" spans="7:27" x14ac:dyDescent="0.25">
      <c r="G165" s="30"/>
      <c r="AA165" s="2"/>
    </row>
    <row r="166" spans="7:27" x14ac:dyDescent="0.25">
      <c r="G166" s="30"/>
      <c r="AA166" s="2"/>
    </row>
    <row r="167" spans="7:27" x14ac:dyDescent="0.25">
      <c r="G167" s="30"/>
      <c r="AA167" s="2"/>
    </row>
    <row r="168" spans="7:27" x14ac:dyDescent="0.25">
      <c r="G168" s="30"/>
      <c r="AA168" s="2"/>
    </row>
    <row r="169" spans="7:27" x14ac:dyDescent="0.25">
      <c r="G169" s="30"/>
      <c r="AA169" s="2"/>
    </row>
    <row r="170" spans="7:27" x14ac:dyDescent="0.25">
      <c r="G170" s="30"/>
      <c r="AA170" s="2"/>
    </row>
    <row r="171" spans="7:27" x14ac:dyDescent="0.25">
      <c r="G171" s="30"/>
      <c r="AA171" s="2"/>
    </row>
    <row r="172" spans="7:27" x14ac:dyDescent="0.25">
      <c r="G172" s="30"/>
      <c r="AA172" s="2"/>
    </row>
    <row r="173" spans="7:27" x14ac:dyDescent="0.25">
      <c r="G173" s="30"/>
      <c r="AA173" s="2"/>
    </row>
    <row r="174" spans="7:27" x14ac:dyDescent="0.25">
      <c r="G174" s="30"/>
      <c r="AA174" s="2"/>
    </row>
    <row r="175" spans="7:27" x14ac:dyDescent="0.25">
      <c r="G175" s="30"/>
      <c r="AA175" s="2"/>
    </row>
    <row r="176" spans="7:27" x14ac:dyDescent="0.25">
      <c r="G176" s="30"/>
      <c r="AA176" s="2"/>
    </row>
    <row r="177" spans="7:27" x14ac:dyDescent="0.25">
      <c r="G177" s="30"/>
      <c r="AA177" s="2"/>
    </row>
    <row r="178" spans="7:27" x14ac:dyDescent="0.25">
      <c r="G178" s="30"/>
      <c r="AA178" s="2"/>
    </row>
    <row r="179" spans="7:27" x14ac:dyDescent="0.25">
      <c r="G179" s="30"/>
      <c r="AA179" s="2"/>
    </row>
    <row r="180" spans="7:27" x14ac:dyDescent="0.25">
      <c r="G180" s="30"/>
      <c r="AA180" s="2"/>
    </row>
    <row r="181" spans="7:27" x14ac:dyDescent="0.25">
      <c r="G181" s="30"/>
      <c r="AA181" s="2"/>
    </row>
    <row r="182" spans="7:27" ht="15" customHeight="1" x14ac:dyDescent="0.25">
      <c r="G182" s="30"/>
      <c r="AA182" s="2"/>
    </row>
    <row r="183" spans="7:27" ht="15" customHeight="1" x14ac:dyDescent="0.25">
      <c r="G183" s="30"/>
      <c r="AA183" s="2"/>
    </row>
    <row r="184" spans="7:27" ht="15" customHeight="1" x14ac:dyDescent="0.25">
      <c r="G184" s="30"/>
      <c r="AA184" s="2"/>
    </row>
    <row r="185" spans="7:27" ht="15" customHeight="1" x14ac:dyDescent="0.25">
      <c r="G185" s="30"/>
      <c r="AA185" s="2"/>
    </row>
    <row r="186" spans="7:27" ht="15" customHeight="1" x14ac:dyDescent="0.25">
      <c r="G186" s="30"/>
      <c r="AA186" s="2"/>
    </row>
    <row r="187" spans="7:27" ht="15" customHeight="1" x14ac:dyDescent="0.25">
      <c r="G187" s="30"/>
      <c r="AA187" s="2"/>
    </row>
    <row r="188" spans="7:27" x14ac:dyDescent="0.25">
      <c r="G188" s="30"/>
      <c r="AA188" s="2"/>
    </row>
    <row r="189" spans="7:27" ht="15" customHeight="1" x14ac:dyDescent="0.25">
      <c r="G189" s="30"/>
      <c r="AA189" s="2"/>
    </row>
    <row r="190" spans="7:27" x14ac:dyDescent="0.25">
      <c r="G190" s="30"/>
      <c r="AA190" s="2"/>
    </row>
    <row r="191" spans="7:27" x14ac:dyDescent="0.25">
      <c r="G191" s="30"/>
      <c r="AA191" s="2"/>
    </row>
    <row r="192" spans="7:27" x14ac:dyDescent="0.25">
      <c r="G192" s="30"/>
      <c r="AA192" s="2"/>
    </row>
    <row r="193" spans="7:27" x14ac:dyDescent="0.25">
      <c r="G193" s="30"/>
      <c r="AA193" s="2"/>
    </row>
    <row r="194" spans="7:27" x14ac:dyDescent="0.25">
      <c r="G194" s="30"/>
      <c r="AA194" s="2"/>
    </row>
    <row r="195" spans="7:27" x14ac:dyDescent="0.25">
      <c r="G195" s="30"/>
      <c r="AA195" s="2"/>
    </row>
    <row r="196" spans="7:27" x14ac:dyDescent="0.25">
      <c r="G196" s="30"/>
      <c r="AA196" s="2"/>
    </row>
    <row r="197" spans="7:27" x14ac:dyDescent="0.25">
      <c r="G197" s="30"/>
      <c r="AA197" s="2"/>
    </row>
    <row r="198" spans="7:27" x14ac:dyDescent="0.25">
      <c r="G198" s="30"/>
      <c r="AA198" s="2"/>
    </row>
    <row r="199" spans="7:27" x14ac:dyDescent="0.25">
      <c r="G199" s="30"/>
      <c r="AA199" s="2"/>
    </row>
    <row r="200" spans="7:27" x14ac:dyDescent="0.25">
      <c r="G200" s="30"/>
      <c r="AA200" s="2"/>
    </row>
    <row r="201" spans="7:27" x14ac:dyDescent="0.25">
      <c r="G201" s="30"/>
      <c r="AA201" s="2"/>
    </row>
    <row r="202" spans="7:27" x14ac:dyDescent="0.25">
      <c r="G202" s="30"/>
      <c r="AA202" s="2"/>
    </row>
    <row r="203" spans="7:27" x14ac:dyDescent="0.25">
      <c r="G203" s="30"/>
      <c r="AA203" s="2"/>
    </row>
    <row r="204" spans="7:27" x14ac:dyDescent="0.25">
      <c r="G204" s="30"/>
      <c r="AA204" s="2"/>
    </row>
    <row r="205" spans="7:27" x14ac:dyDescent="0.25">
      <c r="G205" s="30"/>
      <c r="AA205" s="2"/>
    </row>
    <row r="206" spans="7:27" x14ac:dyDescent="0.25">
      <c r="G206" s="30"/>
      <c r="AA206" s="2"/>
    </row>
    <row r="207" spans="7:27" x14ac:dyDescent="0.25">
      <c r="G207" s="30"/>
      <c r="AA207" s="2"/>
    </row>
    <row r="208" spans="7:27" x14ac:dyDescent="0.25">
      <c r="G208" s="30"/>
      <c r="AA208" s="2"/>
    </row>
    <row r="209" spans="7:27" x14ac:dyDescent="0.25">
      <c r="G209" s="30"/>
      <c r="AA209" s="2"/>
    </row>
    <row r="210" spans="7:27" x14ac:dyDescent="0.25">
      <c r="G210" s="30"/>
      <c r="AA210" s="2"/>
    </row>
    <row r="211" spans="7:27" x14ac:dyDescent="0.25">
      <c r="G211" s="30"/>
      <c r="AA211" s="2"/>
    </row>
    <row r="212" spans="7:27" x14ac:dyDescent="0.25">
      <c r="G212" s="30"/>
      <c r="AA212" s="2"/>
    </row>
    <row r="213" spans="7:27" x14ac:dyDescent="0.25">
      <c r="G213" s="30"/>
      <c r="AA213" s="2"/>
    </row>
    <row r="214" spans="7:27" x14ac:dyDescent="0.25">
      <c r="G214" s="30"/>
      <c r="AA214" s="2"/>
    </row>
    <row r="215" spans="7:27" x14ac:dyDescent="0.25">
      <c r="G215" s="30"/>
      <c r="AA215" s="2"/>
    </row>
    <row r="216" spans="7:27" x14ac:dyDescent="0.25">
      <c r="G216" s="30"/>
      <c r="AA216" s="2"/>
    </row>
    <row r="217" spans="7:27" x14ac:dyDescent="0.25">
      <c r="G217" s="30"/>
      <c r="AA217" s="2"/>
    </row>
    <row r="218" spans="7:27" x14ac:dyDescent="0.25">
      <c r="G218" s="30"/>
      <c r="AA218" s="2"/>
    </row>
    <row r="219" spans="7:27" x14ac:dyDescent="0.25">
      <c r="G219" s="30"/>
      <c r="AA219" s="2"/>
    </row>
    <row r="220" spans="7:27" x14ac:dyDescent="0.25">
      <c r="G220" s="30"/>
      <c r="AA220" s="2"/>
    </row>
    <row r="221" spans="7:27" x14ac:dyDescent="0.25">
      <c r="G221" s="30"/>
      <c r="AA221" s="2"/>
    </row>
    <row r="222" spans="7:27" x14ac:dyDescent="0.25">
      <c r="G222" s="30"/>
      <c r="AA222" s="2"/>
    </row>
    <row r="223" spans="7:27" x14ac:dyDescent="0.25">
      <c r="G223" s="30"/>
      <c r="AA223" s="2"/>
    </row>
    <row r="224" spans="7:27" x14ac:dyDescent="0.25">
      <c r="G224" s="30"/>
      <c r="AA224" s="2"/>
    </row>
    <row r="225" spans="7:27" x14ac:dyDescent="0.25">
      <c r="G225" s="30"/>
      <c r="AA225" s="2"/>
    </row>
    <row r="226" spans="7:27" x14ac:dyDescent="0.25">
      <c r="G226" s="30"/>
      <c r="AA226" s="2"/>
    </row>
    <row r="227" spans="7:27" ht="15" customHeight="1" x14ac:dyDescent="0.25">
      <c r="G227" s="30"/>
      <c r="AA227" s="2"/>
    </row>
    <row r="228" spans="7:27" ht="15" customHeight="1" x14ac:dyDescent="0.25">
      <c r="G228" s="30"/>
      <c r="AA228" s="2"/>
    </row>
    <row r="229" spans="7:27" ht="15" customHeight="1" x14ac:dyDescent="0.25">
      <c r="G229" s="30"/>
      <c r="AA229" s="2"/>
    </row>
    <row r="230" spans="7:27" ht="15" customHeight="1" x14ac:dyDescent="0.25">
      <c r="G230" s="30"/>
      <c r="AA230" s="2"/>
    </row>
    <row r="231" spans="7:27" ht="15" customHeight="1" x14ac:dyDescent="0.25">
      <c r="G231" s="30"/>
      <c r="AA231" s="2"/>
    </row>
    <row r="232" spans="7:27" ht="15" customHeight="1" x14ac:dyDescent="0.25">
      <c r="G232" s="30"/>
      <c r="AA232" s="2"/>
    </row>
    <row r="233" spans="7:27" x14ac:dyDescent="0.25">
      <c r="G233" s="30"/>
      <c r="AA233" s="2"/>
    </row>
    <row r="234" spans="7:27" ht="15" customHeight="1" x14ac:dyDescent="0.25">
      <c r="G234" s="30"/>
      <c r="AA234" s="2"/>
    </row>
    <row r="235" spans="7:27" x14ac:dyDescent="0.25">
      <c r="G235" s="30"/>
      <c r="AA235" s="2"/>
    </row>
    <row r="236" spans="7:27" x14ac:dyDescent="0.25">
      <c r="G236" s="30"/>
      <c r="AA236" s="2"/>
    </row>
    <row r="237" spans="7:27" x14ac:dyDescent="0.25">
      <c r="G237" s="30"/>
      <c r="AA237" s="2"/>
    </row>
    <row r="238" spans="7:27" x14ac:dyDescent="0.25">
      <c r="G238" s="30"/>
      <c r="AA238" s="2"/>
    </row>
    <row r="239" spans="7:27" x14ac:dyDescent="0.25">
      <c r="G239" s="30"/>
      <c r="AA239" s="2"/>
    </row>
    <row r="240" spans="7:27" x14ac:dyDescent="0.25">
      <c r="G240" s="30"/>
      <c r="AA240" s="2"/>
    </row>
    <row r="241" spans="7:27" x14ac:dyDescent="0.25">
      <c r="G241" s="30"/>
      <c r="AA241" s="2"/>
    </row>
    <row r="242" spans="7:27" x14ac:dyDescent="0.25">
      <c r="G242" s="30"/>
      <c r="AA242" s="2"/>
    </row>
    <row r="243" spans="7:27" x14ac:dyDescent="0.25">
      <c r="G243" s="30"/>
      <c r="AA243" s="2"/>
    </row>
    <row r="244" spans="7:27" x14ac:dyDescent="0.25">
      <c r="G244" s="30"/>
      <c r="AA244" s="2"/>
    </row>
    <row r="245" spans="7:27" x14ac:dyDescent="0.25">
      <c r="G245" s="30"/>
      <c r="AA245" s="2"/>
    </row>
    <row r="246" spans="7:27" x14ac:dyDescent="0.25">
      <c r="G246" s="30"/>
      <c r="AA246" s="2"/>
    </row>
    <row r="247" spans="7:27" x14ac:dyDescent="0.25">
      <c r="G247" s="30"/>
      <c r="AA247" s="2"/>
    </row>
    <row r="248" spans="7:27" x14ac:dyDescent="0.25">
      <c r="G248" s="30"/>
      <c r="AA248" s="2"/>
    </row>
    <row r="249" spans="7:27" x14ac:dyDescent="0.25">
      <c r="G249" s="30"/>
      <c r="AA249" s="2"/>
    </row>
    <row r="250" spans="7:27" x14ac:dyDescent="0.25">
      <c r="G250" s="30"/>
      <c r="AA250" s="2"/>
    </row>
    <row r="251" spans="7:27" x14ac:dyDescent="0.25">
      <c r="G251" s="30"/>
      <c r="AA251" s="2"/>
    </row>
    <row r="252" spans="7:27" x14ac:dyDescent="0.25">
      <c r="G252" s="30"/>
      <c r="AA252" s="2"/>
    </row>
    <row r="253" spans="7:27" x14ac:dyDescent="0.25">
      <c r="G253" s="30"/>
      <c r="AA253" s="2"/>
    </row>
    <row r="254" spans="7:27" x14ac:dyDescent="0.25">
      <c r="G254" s="30"/>
      <c r="AA254" s="2"/>
    </row>
    <row r="255" spans="7:27" x14ac:dyDescent="0.25">
      <c r="G255" s="30"/>
      <c r="AA255" s="2"/>
    </row>
    <row r="256" spans="7:27" x14ac:dyDescent="0.25">
      <c r="G256" s="30"/>
      <c r="AA256" s="2"/>
    </row>
    <row r="257" spans="7:27" x14ac:dyDescent="0.25">
      <c r="G257" s="30"/>
      <c r="AA257" s="2"/>
    </row>
    <row r="258" spans="7:27" x14ac:dyDescent="0.25">
      <c r="G258" s="30"/>
      <c r="AA258" s="2"/>
    </row>
    <row r="259" spans="7:27" x14ac:dyDescent="0.25">
      <c r="G259" s="30"/>
      <c r="AA259" s="2"/>
    </row>
    <row r="260" spans="7:27" x14ac:dyDescent="0.25">
      <c r="G260" s="30"/>
      <c r="AA260" s="2"/>
    </row>
    <row r="261" spans="7:27" x14ac:dyDescent="0.25">
      <c r="G261" s="30"/>
      <c r="AA261" s="2"/>
    </row>
    <row r="262" spans="7:27" x14ac:dyDescent="0.25">
      <c r="G262" s="30"/>
      <c r="AA262" s="2"/>
    </row>
    <row r="263" spans="7:27" x14ac:dyDescent="0.25">
      <c r="G263" s="30"/>
      <c r="AA263" s="2"/>
    </row>
    <row r="264" spans="7:27" x14ac:dyDescent="0.25">
      <c r="G264" s="30"/>
      <c r="AA264" s="2"/>
    </row>
    <row r="265" spans="7:27" x14ac:dyDescent="0.25">
      <c r="G265" s="30"/>
      <c r="AA265" s="2"/>
    </row>
    <row r="266" spans="7:27" x14ac:dyDescent="0.25">
      <c r="G266" s="30"/>
      <c r="AA266" s="2"/>
    </row>
    <row r="267" spans="7:27" x14ac:dyDescent="0.25">
      <c r="G267" s="30"/>
      <c r="AA267" s="2"/>
    </row>
    <row r="268" spans="7:27" x14ac:dyDescent="0.25">
      <c r="G268" s="30"/>
      <c r="AA268" s="2"/>
    </row>
    <row r="269" spans="7:27" x14ac:dyDescent="0.25">
      <c r="G269" s="30"/>
      <c r="AA269" s="2"/>
    </row>
    <row r="270" spans="7:27" x14ac:dyDescent="0.25">
      <c r="G270" s="30"/>
      <c r="AA270" s="2"/>
    </row>
    <row r="271" spans="7:27" x14ac:dyDescent="0.25">
      <c r="G271" s="30"/>
      <c r="AA271" s="2"/>
    </row>
    <row r="272" spans="7:27" x14ac:dyDescent="0.25">
      <c r="G272" s="30"/>
      <c r="AA272" s="2"/>
    </row>
    <row r="273" spans="7:27" x14ac:dyDescent="0.25">
      <c r="G273" s="30"/>
      <c r="AA273" s="2"/>
    </row>
  </sheetData>
  <mergeCells count="12">
    <mergeCell ref="B11:R49"/>
    <mergeCell ref="A54:A92"/>
    <mergeCell ref="B54:R92"/>
    <mergeCell ref="B97:R135"/>
    <mergeCell ref="A99:A131"/>
    <mergeCell ref="E1:O3"/>
    <mergeCell ref="E4:E5"/>
    <mergeCell ref="F4:O5"/>
    <mergeCell ref="E6:E7"/>
    <mergeCell ref="F6:O7"/>
    <mergeCell ref="E8:E9"/>
    <mergeCell ref="F8:O9"/>
  </mergeCells>
  <pageMargins left="0.19685039370078741" right="0.19685039370078741" top="0.19685039370078741" bottom="0.19685039370078741" header="0" footer="0.35433070866141736"/>
  <pageSetup paperSize="9" scale="39" fitToHeight="3" orientation="portrait" horizontalDpi="1200" verticalDpi="1200" r:id="rId1"/>
  <headerFooter alignWithMargins="0">
    <oddFooter xml:space="preserve">&amp;C&amp;18Tooshop | M. Santos | &amp;D&amp;R&amp;18Página &amp;P de &amp;N         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D273"/>
  <sheetViews>
    <sheetView view="pageBreakPreview" zoomScale="37" zoomScaleNormal="70" zoomScaleSheetLayoutView="37" workbookViewId="0">
      <selection activeCell="T57" sqref="T57"/>
    </sheetView>
  </sheetViews>
  <sheetFormatPr defaultRowHeight="15" x14ac:dyDescent="0.25"/>
  <cols>
    <col min="1" max="1" width="4.7109375" style="2" customWidth="1"/>
    <col min="2" max="2" width="9.140625" style="2"/>
    <col min="3" max="4" width="15.7109375" style="2" customWidth="1"/>
    <col min="5" max="5" width="30.7109375" style="2" customWidth="1"/>
    <col min="6" max="6" width="18.7109375" style="2" customWidth="1"/>
    <col min="7" max="13" width="9.140625" style="2"/>
    <col min="14" max="14" width="25.7109375" style="2" customWidth="1"/>
    <col min="15" max="15" width="30.7109375" style="2" customWidth="1"/>
    <col min="16" max="17" width="15.7109375" style="2" customWidth="1"/>
    <col min="18" max="18" width="9.140625" style="2" customWidth="1"/>
    <col min="19" max="19" width="4.5703125" style="2" customWidth="1"/>
    <col min="20" max="20" width="50.140625" style="2" customWidth="1"/>
    <col min="21" max="21" width="6.85546875" style="2" customWidth="1"/>
    <col min="22" max="22" width="6.5703125" style="2" customWidth="1"/>
    <col min="23" max="23" width="6.7109375" style="2" customWidth="1"/>
    <col min="24" max="24" width="7.28515625" style="2" customWidth="1"/>
    <col min="25" max="25" width="9.140625" style="2"/>
    <col min="26" max="26" width="39" style="2" bestFit="1" customWidth="1"/>
    <col min="27" max="27" width="13.5703125" style="30" bestFit="1" customWidth="1"/>
    <col min="28" max="28" width="10.42578125" style="2" bestFit="1" customWidth="1"/>
    <col min="29" max="29" width="19.42578125" style="2" bestFit="1" customWidth="1"/>
    <col min="30" max="30" width="5.42578125" style="2" bestFit="1" customWidth="1"/>
    <col min="31" max="16384" width="9.140625" style="2"/>
  </cols>
  <sheetData>
    <row r="1" spans="1:30" ht="15" customHeight="1" x14ac:dyDescent="0.25">
      <c r="A1" s="13"/>
      <c r="B1" s="3"/>
      <c r="C1" s="3"/>
      <c r="D1" s="3"/>
      <c r="E1" s="116" t="s">
        <v>3</v>
      </c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3"/>
      <c r="Q1" s="3"/>
      <c r="R1" s="3"/>
      <c r="S1" s="4"/>
      <c r="T1" s="10"/>
      <c r="Z1" s="49" t="s">
        <v>4</v>
      </c>
      <c r="AA1" s="88"/>
      <c r="AB1" s="102"/>
      <c r="AC1" s="103"/>
      <c r="AD1" s="104"/>
    </row>
    <row r="2" spans="1:30" ht="15" customHeight="1" x14ac:dyDescent="0.25">
      <c r="A2" s="14"/>
      <c r="B2" s="56"/>
      <c r="C2" s="56"/>
      <c r="D2" s="56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58"/>
      <c r="Q2" s="56"/>
      <c r="R2" s="56"/>
      <c r="S2" s="6"/>
      <c r="Z2" s="50" t="s">
        <v>477</v>
      </c>
      <c r="AA2" s="89">
        <v>1</v>
      </c>
      <c r="AB2" s="95"/>
      <c r="AC2" s="95"/>
      <c r="AD2" s="105"/>
    </row>
    <row r="3" spans="1:30" ht="15" customHeight="1" x14ac:dyDescent="0.25">
      <c r="A3" s="14"/>
      <c r="B3" s="56"/>
      <c r="C3" s="56"/>
      <c r="D3" s="56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58"/>
      <c r="Q3" s="56"/>
      <c r="R3" s="56"/>
      <c r="S3" s="6"/>
      <c r="Z3" s="50" t="s">
        <v>476</v>
      </c>
      <c r="AA3" s="89">
        <v>4</v>
      </c>
      <c r="AB3" s="95"/>
      <c r="AC3" s="95"/>
      <c r="AD3" s="105"/>
    </row>
    <row r="4" spans="1:30" ht="15" customHeight="1" x14ac:dyDescent="0.25">
      <c r="A4" s="14"/>
      <c r="B4" s="56"/>
      <c r="C4" s="56"/>
      <c r="D4" s="56"/>
      <c r="E4" s="129" t="str">
        <f>"Projeto: "</f>
        <v xml:space="preserve">Projeto: </v>
      </c>
      <c r="F4" s="131" t="str">
        <f>T7</f>
        <v>VW276_EU</v>
      </c>
      <c r="G4" s="131"/>
      <c r="H4" s="131"/>
      <c r="I4" s="131"/>
      <c r="J4" s="131"/>
      <c r="K4" s="131"/>
      <c r="L4" s="131"/>
      <c r="M4" s="131"/>
      <c r="N4" s="131"/>
      <c r="O4" s="132"/>
      <c r="P4" s="58"/>
      <c r="Q4" s="56"/>
      <c r="R4" s="56"/>
      <c r="S4" s="6"/>
      <c r="Z4" s="50" t="s">
        <v>218</v>
      </c>
      <c r="AA4" s="89">
        <v>2</v>
      </c>
      <c r="AB4" s="95"/>
      <c r="AC4" s="95"/>
      <c r="AD4" s="105"/>
    </row>
    <row r="5" spans="1:30" ht="15" customHeight="1" x14ac:dyDescent="0.25">
      <c r="A5" s="80"/>
      <c r="B5" s="54"/>
      <c r="C5" s="55"/>
      <c r="D5" s="55"/>
      <c r="E5" s="130"/>
      <c r="F5" s="133"/>
      <c r="G5" s="133"/>
      <c r="H5" s="133"/>
      <c r="I5" s="133"/>
      <c r="J5" s="133"/>
      <c r="K5" s="133"/>
      <c r="L5" s="133"/>
      <c r="M5" s="133"/>
      <c r="N5" s="133"/>
      <c r="O5" s="134"/>
      <c r="P5" s="58"/>
      <c r="Q5" s="55"/>
      <c r="R5" s="55"/>
      <c r="S5" s="6"/>
      <c r="Z5" s="50" t="s">
        <v>475</v>
      </c>
      <c r="AA5" s="89"/>
      <c r="AB5" s="95"/>
      <c r="AC5" s="95"/>
      <c r="AD5" s="105"/>
    </row>
    <row r="6" spans="1:30" ht="15" customHeight="1" x14ac:dyDescent="0.25">
      <c r="A6" s="80"/>
      <c r="B6" s="54"/>
      <c r="C6" s="55"/>
      <c r="D6" s="55"/>
      <c r="E6" s="135" t="str">
        <f>"Peça: "</f>
        <v xml:space="preserve">Peça: </v>
      </c>
      <c r="F6" s="136" t="str">
        <f>T8</f>
        <v>2GA.823.179_180</v>
      </c>
      <c r="G6" s="136"/>
      <c r="H6" s="136"/>
      <c r="I6" s="136"/>
      <c r="J6" s="136"/>
      <c r="K6" s="136"/>
      <c r="L6" s="136"/>
      <c r="M6" s="136"/>
      <c r="N6" s="136"/>
      <c r="O6" s="137"/>
      <c r="P6" s="58"/>
      <c r="Q6" s="55"/>
      <c r="R6" s="55"/>
      <c r="S6" s="6"/>
      <c r="T6" s="17" t="s">
        <v>174</v>
      </c>
      <c r="Z6" s="50" t="s">
        <v>249</v>
      </c>
      <c r="AA6" s="89"/>
      <c r="AB6" s="95"/>
      <c r="AC6" s="95"/>
      <c r="AD6" s="105"/>
    </row>
    <row r="7" spans="1:30" ht="15" customHeight="1" x14ac:dyDescent="0.25">
      <c r="A7" s="80"/>
      <c r="B7" s="54"/>
      <c r="C7" s="55"/>
      <c r="D7" s="55"/>
      <c r="E7" s="130"/>
      <c r="F7" s="133"/>
      <c r="G7" s="133"/>
      <c r="H7" s="133"/>
      <c r="I7" s="133"/>
      <c r="J7" s="133"/>
      <c r="K7" s="133"/>
      <c r="L7" s="133"/>
      <c r="M7" s="133"/>
      <c r="N7" s="133"/>
      <c r="O7" s="134"/>
      <c r="P7" s="55"/>
      <c r="Q7" s="55"/>
      <c r="R7" s="55"/>
      <c r="S7" s="6"/>
      <c r="T7" s="53" t="s">
        <v>79</v>
      </c>
      <c r="Z7" s="50" t="s">
        <v>2</v>
      </c>
      <c r="AA7" s="89">
        <f>SUM(AA2:AA6)</f>
        <v>7</v>
      </c>
      <c r="AB7" s="95">
        <f>SUM(AB2:AB6)</f>
        <v>0</v>
      </c>
      <c r="AC7" s="95"/>
      <c r="AD7" s="105"/>
    </row>
    <row r="8" spans="1:30" ht="15" customHeight="1" x14ac:dyDescent="0.25">
      <c r="A8" s="15"/>
      <c r="E8" s="135" t="str">
        <f>"Ano: "</f>
        <v xml:space="preserve">Ano: </v>
      </c>
      <c r="F8" s="136">
        <f>T9</f>
        <v>2017</v>
      </c>
      <c r="G8" s="136"/>
      <c r="H8" s="136"/>
      <c r="I8" s="136"/>
      <c r="J8" s="136"/>
      <c r="K8" s="136"/>
      <c r="L8" s="136"/>
      <c r="M8" s="136"/>
      <c r="N8" s="136"/>
      <c r="O8" s="137"/>
      <c r="S8" s="6"/>
      <c r="T8" s="2" t="s">
        <v>94</v>
      </c>
      <c r="Z8" s="48" t="s">
        <v>5</v>
      </c>
      <c r="AA8" s="90"/>
      <c r="AB8" s="106"/>
      <c r="AC8" s="106"/>
      <c r="AD8" s="107"/>
    </row>
    <row r="9" spans="1:30" ht="15" customHeight="1" x14ac:dyDescent="0.25">
      <c r="A9" s="81"/>
      <c r="B9" s="57"/>
      <c r="C9" s="57"/>
      <c r="D9" s="57"/>
      <c r="E9" s="130"/>
      <c r="F9" s="133"/>
      <c r="G9" s="133"/>
      <c r="H9" s="133"/>
      <c r="I9" s="133"/>
      <c r="J9" s="133"/>
      <c r="K9" s="133"/>
      <c r="L9" s="133"/>
      <c r="M9" s="133"/>
      <c r="N9" s="133"/>
      <c r="O9" s="134"/>
      <c r="P9" s="57"/>
      <c r="Q9" s="57"/>
      <c r="R9" s="57"/>
      <c r="S9" s="6"/>
      <c r="T9" s="2">
        <v>2017</v>
      </c>
      <c r="Z9" s="44" t="s">
        <v>8</v>
      </c>
      <c r="AA9" s="91"/>
      <c r="AB9" s="108"/>
      <c r="AC9" s="108"/>
      <c r="AD9" s="109"/>
    </row>
    <row r="10" spans="1:30" x14ac:dyDescent="0.25">
      <c r="A10" s="81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6"/>
      <c r="Z10" s="44" t="s">
        <v>7</v>
      </c>
      <c r="AA10" s="91">
        <v>1</v>
      </c>
      <c r="AB10" s="108"/>
      <c r="AC10" s="108"/>
      <c r="AD10" s="109"/>
    </row>
    <row r="11" spans="1:30" ht="15" customHeight="1" x14ac:dyDescent="0.25">
      <c r="A11" s="81"/>
      <c r="B11" s="118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6"/>
      <c r="Z11" s="44" t="s">
        <v>41</v>
      </c>
      <c r="AA11" s="91"/>
      <c r="AB11" s="108"/>
      <c r="AC11" s="108"/>
      <c r="AD11" s="109"/>
    </row>
    <row r="12" spans="1:30" ht="15" customHeight="1" x14ac:dyDescent="0.25">
      <c r="A12" s="81"/>
      <c r="B12" s="118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6"/>
      <c r="Z12" s="44" t="s">
        <v>40</v>
      </c>
      <c r="AA12" s="91"/>
      <c r="AB12" s="108"/>
      <c r="AC12" s="108"/>
      <c r="AD12" s="109"/>
    </row>
    <row r="13" spans="1:30" ht="15" customHeight="1" x14ac:dyDescent="0.25">
      <c r="A13" s="81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6"/>
      <c r="T13" s="12"/>
      <c r="Z13" s="44" t="s">
        <v>1</v>
      </c>
      <c r="AA13" s="91">
        <v>1</v>
      </c>
      <c r="AB13" s="108"/>
      <c r="AC13" s="108"/>
      <c r="AD13" s="109"/>
    </row>
    <row r="14" spans="1:30" ht="15" customHeight="1" x14ac:dyDescent="0.25">
      <c r="A14" s="81"/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6"/>
      <c r="T14" s="11"/>
      <c r="Z14" s="96" t="s">
        <v>356</v>
      </c>
      <c r="AA14" s="94"/>
      <c r="AB14" s="110"/>
      <c r="AC14" s="110"/>
      <c r="AD14" s="111"/>
    </row>
    <row r="15" spans="1:30" ht="15" customHeight="1" x14ac:dyDescent="0.25">
      <c r="A15" s="81"/>
      <c r="B15" s="118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6"/>
      <c r="Z15" s="45" t="s">
        <v>353</v>
      </c>
      <c r="AA15" s="98"/>
      <c r="AB15" s="99"/>
      <c r="AC15" s="100"/>
      <c r="AD15" s="101"/>
    </row>
    <row r="16" spans="1:30" ht="15" customHeight="1" x14ac:dyDescent="0.25">
      <c r="A16" s="81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6"/>
      <c r="Z16" s="45" t="s">
        <v>185</v>
      </c>
      <c r="AA16" s="98"/>
      <c r="AB16" s="99"/>
      <c r="AC16" s="100"/>
      <c r="AD16" s="101"/>
    </row>
    <row r="17" spans="1:30" x14ac:dyDescent="0.25">
      <c r="A17" s="81"/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6"/>
      <c r="Z17" s="45" t="s">
        <v>210</v>
      </c>
      <c r="AA17" s="98"/>
      <c r="AB17" s="99"/>
      <c r="AC17" s="100"/>
      <c r="AD17" s="101"/>
    </row>
    <row r="18" spans="1:30" x14ac:dyDescent="0.25">
      <c r="A18" s="81"/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6"/>
      <c r="Z18" s="45" t="s">
        <v>354</v>
      </c>
      <c r="AA18" s="98"/>
      <c r="AB18" s="99"/>
      <c r="AC18" s="100"/>
      <c r="AD18" s="101"/>
    </row>
    <row r="19" spans="1:30" x14ac:dyDescent="0.25">
      <c r="A19" s="81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6"/>
      <c r="Z19" s="45" t="s">
        <v>46</v>
      </c>
      <c r="AA19" s="98"/>
      <c r="AB19" s="99"/>
      <c r="AC19" s="100"/>
      <c r="AD19" s="101">
        <v>2</v>
      </c>
    </row>
    <row r="20" spans="1:30" x14ac:dyDescent="0.25">
      <c r="A20" s="81"/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6"/>
      <c r="Z20" s="45" t="s">
        <v>204</v>
      </c>
      <c r="AA20" s="98"/>
      <c r="AB20" s="99"/>
      <c r="AC20" s="100"/>
      <c r="AD20" s="101">
        <v>2</v>
      </c>
    </row>
    <row r="21" spans="1:30" x14ac:dyDescent="0.25">
      <c r="A21" s="81"/>
      <c r="B21" s="118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6"/>
      <c r="Z21" s="45" t="s">
        <v>143</v>
      </c>
      <c r="AA21" s="98"/>
      <c r="AB21" s="99"/>
      <c r="AC21" s="100"/>
      <c r="AD21" s="101">
        <v>1</v>
      </c>
    </row>
    <row r="22" spans="1:30" x14ac:dyDescent="0.25">
      <c r="A22" s="81"/>
      <c r="B22" s="118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6"/>
      <c r="Z22" s="45" t="s">
        <v>147</v>
      </c>
      <c r="AA22" s="98"/>
      <c r="AB22" s="99"/>
      <c r="AC22" s="100"/>
      <c r="AD22" s="101">
        <v>1</v>
      </c>
    </row>
    <row r="23" spans="1:30" x14ac:dyDescent="0.25">
      <c r="A23" s="81"/>
      <c r="B23" s="118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6"/>
      <c r="Z23" s="45" t="s">
        <v>57</v>
      </c>
      <c r="AA23" s="98"/>
      <c r="AB23" s="99"/>
      <c r="AC23" s="100"/>
      <c r="AD23" s="101">
        <v>1</v>
      </c>
    </row>
    <row r="24" spans="1:30" x14ac:dyDescent="0.25">
      <c r="A24" s="81"/>
      <c r="B24" s="11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6"/>
      <c r="Z24" s="46" t="s">
        <v>52</v>
      </c>
      <c r="AA24" s="98"/>
      <c r="AB24" s="99"/>
      <c r="AC24" s="100"/>
      <c r="AD24" s="101"/>
    </row>
    <row r="25" spans="1:30" x14ac:dyDescent="0.25">
      <c r="A25" s="81"/>
      <c r="B25" s="118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6"/>
      <c r="Z25" s="46"/>
      <c r="AA25" s="98"/>
      <c r="AB25" s="99"/>
      <c r="AC25" s="100"/>
      <c r="AD25" s="101"/>
    </row>
    <row r="26" spans="1:30" x14ac:dyDescent="0.25">
      <c r="A26" s="81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6"/>
      <c r="Z26" s="46"/>
      <c r="AA26" s="92"/>
      <c r="AB26" s="100"/>
      <c r="AC26" s="100"/>
      <c r="AD26" s="101"/>
    </row>
    <row r="27" spans="1:30" x14ac:dyDescent="0.25">
      <c r="A27" s="81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6"/>
      <c r="Z27" s="46"/>
      <c r="AA27" s="92"/>
      <c r="AB27" s="100"/>
      <c r="AC27" s="100"/>
      <c r="AD27" s="101"/>
    </row>
    <row r="28" spans="1:30" x14ac:dyDescent="0.25">
      <c r="A28" s="81"/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6"/>
      <c r="Z28" s="97"/>
      <c r="AA28" s="92" t="s">
        <v>8</v>
      </c>
      <c r="AB28" s="100" t="s">
        <v>7</v>
      </c>
      <c r="AC28" s="100" t="s">
        <v>41</v>
      </c>
      <c r="AD28" s="101" t="s">
        <v>479</v>
      </c>
    </row>
    <row r="29" spans="1:30" x14ac:dyDescent="0.25">
      <c r="A29" s="81"/>
      <c r="B29" s="118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6"/>
      <c r="Z29" s="46"/>
      <c r="AA29" s="92"/>
      <c r="AB29" s="100"/>
      <c r="AC29" s="100"/>
      <c r="AD29" s="101"/>
    </row>
    <row r="30" spans="1:30" x14ac:dyDescent="0.25">
      <c r="A30" s="81"/>
      <c r="B30" s="118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6"/>
      <c r="Z30" s="46"/>
      <c r="AA30" s="92"/>
      <c r="AB30" s="100"/>
      <c r="AC30" s="100"/>
      <c r="AD30" s="101"/>
    </row>
    <row r="31" spans="1:30" x14ac:dyDescent="0.25">
      <c r="A31" s="81"/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6"/>
      <c r="Z31" s="46"/>
      <c r="AA31" s="92"/>
      <c r="AB31" s="100"/>
      <c r="AC31" s="100"/>
      <c r="AD31" s="101"/>
    </row>
    <row r="32" spans="1:30" x14ac:dyDescent="0.25">
      <c r="A32" s="81"/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6"/>
      <c r="Z32" s="46"/>
      <c r="AA32" s="92"/>
      <c r="AB32" s="100"/>
      <c r="AC32" s="100"/>
      <c r="AD32" s="101"/>
    </row>
    <row r="33" spans="1:30" x14ac:dyDescent="0.25">
      <c r="A33" s="81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6"/>
      <c r="Z33" s="46"/>
      <c r="AA33" s="92"/>
      <c r="AB33" s="100"/>
      <c r="AC33" s="100"/>
      <c r="AD33" s="101"/>
    </row>
    <row r="34" spans="1:30" x14ac:dyDescent="0.25">
      <c r="A34" s="81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6"/>
      <c r="Z34" s="97"/>
      <c r="AA34" s="92"/>
      <c r="AB34" s="100"/>
      <c r="AC34" s="100"/>
      <c r="AD34" s="101"/>
    </row>
    <row r="35" spans="1:30" x14ac:dyDescent="0.25">
      <c r="A35" s="81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6"/>
      <c r="Z35" s="46"/>
      <c r="AA35" s="92"/>
      <c r="AB35" s="100"/>
      <c r="AC35" s="100"/>
      <c r="AD35" s="101"/>
    </row>
    <row r="36" spans="1:30" x14ac:dyDescent="0.25">
      <c r="A36" s="81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6"/>
      <c r="Z36" s="46"/>
      <c r="AA36" s="92"/>
      <c r="AB36" s="100"/>
      <c r="AC36" s="100"/>
      <c r="AD36" s="101"/>
    </row>
    <row r="37" spans="1:30" x14ac:dyDescent="0.25">
      <c r="A37" s="81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6"/>
      <c r="Z37" s="46"/>
      <c r="AA37" s="92"/>
      <c r="AB37" s="100"/>
      <c r="AC37" s="100"/>
      <c r="AD37" s="101"/>
    </row>
    <row r="38" spans="1:30" x14ac:dyDescent="0.25">
      <c r="A38" s="81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6"/>
      <c r="Z38" s="46"/>
      <c r="AA38" s="92"/>
      <c r="AB38" s="100"/>
      <c r="AC38" s="100"/>
      <c r="AD38" s="101"/>
    </row>
    <row r="39" spans="1:30" ht="15.75" thickBot="1" x14ac:dyDescent="0.3">
      <c r="A39" s="81"/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6"/>
      <c r="Z39" s="47"/>
      <c r="AA39" s="93"/>
      <c r="AB39" s="112"/>
      <c r="AC39" s="112"/>
      <c r="AD39" s="113"/>
    </row>
    <row r="40" spans="1:30" x14ac:dyDescent="0.25">
      <c r="A40" s="81"/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6"/>
    </row>
    <row r="41" spans="1:30" x14ac:dyDescent="0.25">
      <c r="A41" s="81"/>
      <c r="B41" s="118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6"/>
    </row>
    <row r="42" spans="1:30" x14ac:dyDescent="0.25">
      <c r="A42" s="5"/>
      <c r="B42" s="118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6"/>
    </row>
    <row r="43" spans="1:30" x14ac:dyDescent="0.25">
      <c r="A43" s="5"/>
      <c r="B43" s="118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6"/>
    </row>
    <row r="44" spans="1:30" x14ac:dyDescent="0.25">
      <c r="A44" s="5"/>
      <c r="B44" s="118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6"/>
    </row>
    <row r="45" spans="1:30" x14ac:dyDescent="0.25">
      <c r="A45" s="5"/>
      <c r="B45" s="118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8"/>
      <c r="Q45" s="118"/>
      <c r="R45" s="118"/>
      <c r="S45" s="6"/>
    </row>
    <row r="46" spans="1:30" x14ac:dyDescent="0.25">
      <c r="A46" s="15"/>
      <c r="B46" s="118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6"/>
    </row>
    <row r="47" spans="1:30" ht="15" customHeight="1" x14ac:dyDescent="0.25">
      <c r="A47" s="14"/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6"/>
    </row>
    <row r="48" spans="1:30" ht="15" customHeight="1" x14ac:dyDescent="0.25">
      <c r="A48" s="14"/>
      <c r="B48" s="118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6"/>
    </row>
    <row r="49" spans="1:19" ht="15" customHeight="1" x14ac:dyDescent="0.25">
      <c r="A49" s="14"/>
      <c r="B49" s="118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6"/>
    </row>
    <row r="50" spans="1:19" ht="15" customHeight="1" x14ac:dyDescent="0.25">
      <c r="A50" s="80"/>
      <c r="B50" s="54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6"/>
    </row>
    <row r="51" spans="1:19" ht="15" customHeight="1" x14ac:dyDescent="0.25">
      <c r="A51" s="80"/>
      <c r="B51" s="59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"/>
    </row>
    <row r="52" spans="1:19" ht="15" customHeight="1" x14ac:dyDescent="0.25">
      <c r="A52" s="80"/>
      <c r="B52" s="54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6"/>
    </row>
    <row r="53" spans="1:19" x14ac:dyDescent="0.25">
      <c r="A53" s="15"/>
      <c r="S53" s="6"/>
    </row>
    <row r="54" spans="1:19" ht="15" customHeight="1" x14ac:dyDescent="0.25">
      <c r="A54" s="127" t="s">
        <v>163</v>
      </c>
      <c r="B54" s="118"/>
      <c r="C54" s="118"/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6"/>
    </row>
    <row r="55" spans="1:19" x14ac:dyDescent="0.25">
      <c r="A55" s="127"/>
      <c r="B55" s="118"/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6"/>
    </row>
    <row r="56" spans="1:19" x14ac:dyDescent="0.25">
      <c r="A56" s="127"/>
      <c r="B56" s="118"/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6"/>
    </row>
    <row r="57" spans="1:19" x14ac:dyDescent="0.25">
      <c r="A57" s="127"/>
      <c r="B57" s="118"/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6"/>
    </row>
    <row r="58" spans="1:19" x14ac:dyDescent="0.25">
      <c r="A58" s="127"/>
      <c r="B58" s="118"/>
      <c r="C58" s="118"/>
      <c r="D58" s="118"/>
      <c r="E58" s="118"/>
      <c r="F58" s="118"/>
      <c r="G58" s="118"/>
      <c r="H58" s="118"/>
      <c r="I58" s="118"/>
      <c r="J58" s="118"/>
      <c r="K58" s="118"/>
      <c r="L58" s="118"/>
      <c r="M58" s="118"/>
      <c r="N58" s="118"/>
      <c r="O58" s="118"/>
      <c r="P58" s="118"/>
      <c r="Q58" s="118"/>
      <c r="R58" s="118"/>
      <c r="S58" s="6"/>
    </row>
    <row r="59" spans="1:19" x14ac:dyDescent="0.25">
      <c r="A59" s="127"/>
      <c r="B59" s="118"/>
      <c r="C59" s="118"/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6"/>
    </row>
    <row r="60" spans="1:19" x14ac:dyDescent="0.25">
      <c r="A60" s="127"/>
      <c r="B60" s="118"/>
      <c r="C60" s="118"/>
      <c r="D60" s="118"/>
      <c r="E60" s="118"/>
      <c r="F60" s="118"/>
      <c r="G60" s="118"/>
      <c r="H60" s="118"/>
      <c r="I60" s="118"/>
      <c r="J60" s="118"/>
      <c r="K60" s="118"/>
      <c r="L60" s="118"/>
      <c r="M60" s="118"/>
      <c r="N60" s="118"/>
      <c r="O60" s="118"/>
      <c r="P60" s="118"/>
      <c r="Q60" s="118"/>
      <c r="R60" s="118"/>
      <c r="S60" s="6"/>
    </row>
    <row r="61" spans="1:19" x14ac:dyDescent="0.25">
      <c r="A61" s="127"/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6"/>
    </row>
    <row r="62" spans="1:19" x14ac:dyDescent="0.25">
      <c r="A62" s="127"/>
      <c r="B62" s="118"/>
      <c r="C62" s="118"/>
      <c r="D62" s="118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6"/>
    </row>
    <row r="63" spans="1:19" x14ac:dyDescent="0.25">
      <c r="A63" s="127"/>
      <c r="B63" s="118"/>
      <c r="C63" s="118"/>
      <c r="D63" s="118"/>
      <c r="E63" s="118"/>
      <c r="F63" s="118"/>
      <c r="G63" s="118"/>
      <c r="H63" s="118"/>
      <c r="I63" s="118"/>
      <c r="J63" s="118"/>
      <c r="K63" s="118"/>
      <c r="L63" s="118"/>
      <c r="M63" s="118"/>
      <c r="N63" s="118"/>
      <c r="O63" s="118"/>
      <c r="P63" s="118"/>
      <c r="Q63" s="118"/>
      <c r="R63" s="118"/>
      <c r="S63" s="6"/>
    </row>
    <row r="64" spans="1:19" x14ac:dyDescent="0.25">
      <c r="A64" s="127"/>
      <c r="B64" s="118"/>
      <c r="C64" s="118"/>
      <c r="D64" s="118"/>
      <c r="E64" s="118"/>
      <c r="F64" s="118"/>
      <c r="G64" s="118"/>
      <c r="H64" s="118"/>
      <c r="I64" s="118"/>
      <c r="J64" s="118"/>
      <c r="K64" s="118"/>
      <c r="L64" s="118"/>
      <c r="M64" s="118"/>
      <c r="N64" s="118"/>
      <c r="O64" s="118"/>
      <c r="P64" s="118"/>
      <c r="Q64" s="118"/>
      <c r="R64" s="118"/>
      <c r="S64" s="6"/>
    </row>
    <row r="65" spans="1:19" x14ac:dyDescent="0.25">
      <c r="A65" s="127"/>
      <c r="B65" s="118"/>
      <c r="C65" s="118"/>
      <c r="D65" s="118"/>
      <c r="E65" s="118"/>
      <c r="F65" s="118"/>
      <c r="G65" s="118"/>
      <c r="H65" s="118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6"/>
    </row>
    <row r="66" spans="1:19" x14ac:dyDescent="0.25">
      <c r="A66" s="127"/>
      <c r="B66" s="118"/>
      <c r="C66" s="118"/>
      <c r="D66" s="118"/>
      <c r="E66" s="118"/>
      <c r="F66" s="118"/>
      <c r="G66" s="118"/>
      <c r="H66" s="118"/>
      <c r="I66" s="118"/>
      <c r="J66" s="118"/>
      <c r="K66" s="118"/>
      <c r="L66" s="118"/>
      <c r="M66" s="118"/>
      <c r="N66" s="118"/>
      <c r="O66" s="118"/>
      <c r="P66" s="118"/>
      <c r="Q66" s="118"/>
      <c r="R66" s="118"/>
      <c r="S66" s="6"/>
    </row>
    <row r="67" spans="1:19" x14ac:dyDescent="0.25">
      <c r="A67" s="127"/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6"/>
    </row>
    <row r="68" spans="1:19" x14ac:dyDescent="0.25">
      <c r="A68" s="127"/>
      <c r="B68" s="118"/>
      <c r="C68" s="118"/>
      <c r="D68" s="118"/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118"/>
      <c r="Q68" s="118"/>
      <c r="R68" s="118"/>
      <c r="S68" s="6"/>
    </row>
    <row r="69" spans="1:19" x14ac:dyDescent="0.25">
      <c r="A69" s="127"/>
      <c r="B69" s="118"/>
      <c r="C69" s="118"/>
      <c r="D69" s="118"/>
      <c r="E69" s="118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118"/>
      <c r="Q69" s="118"/>
      <c r="R69" s="118"/>
      <c r="S69" s="6"/>
    </row>
    <row r="70" spans="1:19" x14ac:dyDescent="0.25">
      <c r="A70" s="127"/>
      <c r="B70" s="118"/>
      <c r="C70" s="118"/>
      <c r="D70" s="118"/>
      <c r="E70" s="118"/>
      <c r="F70" s="118"/>
      <c r="G70" s="118"/>
      <c r="H70" s="118"/>
      <c r="I70" s="118"/>
      <c r="J70" s="118"/>
      <c r="K70" s="118"/>
      <c r="L70" s="118"/>
      <c r="M70" s="118"/>
      <c r="N70" s="118"/>
      <c r="O70" s="118"/>
      <c r="P70" s="118"/>
      <c r="Q70" s="118"/>
      <c r="R70" s="118"/>
      <c r="S70" s="6"/>
    </row>
    <row r="71" spans="1:19" x14ac:dyDescent="0.25">
      <c r="A71" s="127"/>
      <c r="B71" s="118"/>
      <c r="C71" s="118"/>
      <c r="D71" s="118"/>
      <c r="E71" s="118"/>
      <c r="F71" s="118"/>
      <c r="G71" s="118"/>
      <c r="H71" s="118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6"/>
    </row>
    <row r="72" spans="1:19" x14ac:dyDescent="0.25">
      <c r="A72" s="127"/>
      <c r="B72" s="118"/>
      <c r="C72" s="118"/>
      <c r="D72" s="118"/>
      <c r="E72" s="118"/>
      <c r="F72" s="118"/>
      <c r="G72" s="118"/>
      <c r="H72" s="118"/>
      <c r="I72" s="118"/>
      <c r="J72" s="118"/>
      <c r="K72" s="118"/>
      <c r="L72" s="118"/>
      <c r="M72" s="118"/>
      <c r="N72" s="118"/>
      <c r="O72" s="118"/>
      <c r="P72" s="118"/>
      <c r="Q72" s="118"/>
      <c r="R72" s="118"/>
      <c r="S72" s="6"/>
    </row>
    <row r="73" spans="1:19" x14ac:dyDescent="0.25">
      <c r="A73" s="127"/>
      <c r="B73" s="118"/>
      <c r="C73" s="118"/>
      <c r="D73" s="118"/>
      <c r="E73" s="118"/>
      <c r="F73" s="118"/>
      <c r="G73" s="118"/>
      <c r="H73" s="118"/>
      <c r="I73" s="118"/>
      <c r="J73" s="118"/>
      <c r="K73" s="118"/>
      <c r="L73" s="118"/>
      <c r="M73" s="118"/>
      <c r="N73" s="118"/>
      <c r="O73" s="118"/>
      <c r="P73" s="118"/>
      <c r="Q73" s="118"/>
      <c r="R73" s="118"/>
      <c r="S73" s="6"/>
    </row>
    <row r="74" spans="1:19" x14ac:dyDescent="0.25">
      <c r="A74" s="127"/>
      <c r="B74" s="118"/>
      <c r="C74" s="118"/>
      <c r="D74" s="118"/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6"/>
    </row>
    <row r="75" spans="1:19" x14ac:dyDescent="0.25">
      <c r="A75" s="127"/>
      <c r="B75" s="118"/>
      <c r="C75" s="118"/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6"/>
    </row>
    <row r="76" spans="1:19" x14ac:dyDescent="0.25">
      <c r="A76" s="127"/>
      <c r="B76" s="118"/>
      <c r="C76" s="118"/>
      <c r="D76" s="118"/>
      <c r="E76" s="118"/>
      <c r="F76" s="118"/>
      <c r="G76" s="118"/>
      <c r="H76" s="118"/>
      <c r="I76" s="118"/>
      <c r="J76" s="118"/>
      <c r="K76" s="118"/>
      <c r="L76" s="118"/>
      <c r="M76" s="118"/>
      <c r="N76" s="118"/>
      <c r="O76" s="118"/>
      <c r="P76" s="118"/>
      <c r="Q76" s="118"/>
      <c r="R76" s="118"/>
      <c r="S76" s="6"/>
    </row>
    <row r="77" spans="1:19" x14ac:dyDescent="0.25">
      <c r="A77" s="127"/>
      <c r="B77" s="118"/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6"/>
    </row>
    <row r="78" spans="1:19" x14ac:dyDescent="0.25">
      <c r="A78" s="127"/>
      <c r="B78" s="118"/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6"/>
    </row>
    <row r="79" spans="1:19" x14ac:dyDescent="0.25">
      <c r="A79" s="127"/>
      <c r="B79" s="118"/>
      <c r="C79" s="118"/>
      <c r="D79" s="118"/>
      <c r="E79" s="118"/>
      <c r="F79" s="118"/>
      <c r="G79" s="118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6"/>
    </row>
    <row r="80" spans="1:19" x14ac:dyDescent="0.25">
      <c r="A80" s="127"/>
      <c r="B80" s="118"/>
      <c r="C80" s="118"/>
      <c r="D80" s="118"/>
      <c r="E80" s="118"/>
      <c r="F80" s="118"/>
      <c r="G80" s="118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6"/>
    </row>
    <row r="81" spans="1:26" x14ac:dyDescent="0.25">
      <c r="A81" s="127"/>
      <c r="B81" s="118"/>
      <c r="C81" s="118"/>
      <c r="D81" s="118"/>
      <c r="E81" s="118"/>
      <c r="F81" s="118"/>
      <c r="G81" s="118"/>
      <c r="H81" s="118"/>
      <c r="I81" s="118"/>
      <c r="J81" s="118"/>
      <c r="K81" s="118"/>
      <c r="L81" s="118"/>
      <c r="M81" s="118"/>
      <c r="N81" s="118"/>
      <c r="O81" s="118"/>
      <c r="P81" s="118"/>
      <c r="Q81" s="118"/>
      <c r="R81" s="118"/>
      <c r="S81" s="6"/>
    </row>
    <row r="82" spans="1:26" x14ac:dyDescent="0.25">
      <c r="A82" s="127"/>
      <c r="B82" s="118"/>
      <c r="C82" s="118"/>
      <c r="D82" s="118"/>
      <c r="E82" s="118"/>
      <c r="F82" s="118"/>
      <c r="G82" s="118"/>
      <c r="H82" s="118"/>
      <c r="I82" s="118"/>
      <c r="J82" s="118"/>
      <c r="K82" s="118"/>
      <c r="L82" s="118"/>
      <c r="M82" s="118"/>
      <c r="N82" s="118"/>
      <c r="O82" s="118"/>
      <c r="P82" s="118"/>
      <c r="Q82" s="118"/>
      <c r="R82" s="118"/>
      <c r="S82" s="6"/>
    </row>
    <row r="83" spans="1:26" x14ac:dyDescent="0.25">
      <c r="A83" s="127"/>
      <c r="B83" s="118"/>
      <c r="C83" s="118"/>
      <c r="D83" s="118"/>
      <c r="E83" s="118"/>
      <c r="F83" s="118"/>
      <c r="G83" s="118"/>
      <c r="H83" s="118"/>
      <c r="I83" s="118"/>
      <c r="J83" s="118"/>
      <c r="K83" s="118"/>
      <c r="L83" s="118"/>
      <c r="M83" s="118"/>
      <c r="N83" s="118"/>
      <c r="O83" s="118"/>
      <c r="P83" s="118"/>
      <c r="Q83" s="118"/>
      <c r="R83" s="118"/>
      <c r="S83" s="6"/>
    </row>
    <row r="84" spans="1:26" x14ac:dyDescent="0.25">
      <c r="A84" s="127"/>
      <c r="B84" s="118"/>
      <c r="C84" s="118"/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118"/>
      <c r="Q84" s="118"/>
      <c r="R84" s="118"/>
      <c r="S84" s="6"/>
    </row>
    <row r="85" spans="1:26" x14ac:dyDescent="0.25">
      <c r="A85" s="127"/>
      <c r="B85" s="118"/>
      <c r="C85" s="118"/>
      <c r="D85" s="118"/>
      <c r="E85" s="118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118"/>
      <c r="Q85" s="118"/>
      <c r="R85" s="118"/>
      <c r="S85" s="6"/>
    </row>
    <row r="86" spans="1:26" x14ac:dyDescent="0.25">
      <c r="A86" s="127"/>
      <c r="B86" s="118"/>
      <c r="C86" s="118"/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8"/>
      <c r="Q86" s="118"/>
      <c r="R86" s="118"/>
      <c r="S86" s="6"/>
      <c r="Z86" s="30"/>
    </row>
    <row r="87" spans="1:26" x14ac:dyDescent="0.25">
      <c r="A87" s="127"/>
      <c r="B87" s="118"/>
      <c r="C87" s="118"/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118"/>
      <c r="Q87" s="118"/>
      <c r="R87" s="118"/>
      <c r="S87" s="6"/>
    </row>
    <row r="88" spans="1:26" x14ac:dyDescent="0.25">
      <c r="A88" s="127"/>
      <c r="B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6"/>
    </row>
    <row r="89" spans="1:26" x14ac:dyDescent="0.25">
      <c r="A89" s="127"/>
      <c r="B89" s="11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18"/>
      <c r="O89" s="118"/>
      <c r="P89" s="118"/>
      <c r="Q89" s="118"/>
      <c r="R89" s="118"/>
      <c r="S89" s="6"/>
    </row>
    <row r="90" spans="1:26" x14ac:dyDescent="0.25">
      <c r="A90" s="127"/>
      <c r="B90" s="118"/>
      <c r="C90" s="118"/>
      <c r="D90" s="118"/>
      <c r="E90" s="118"/>
      <c r="F90" s="118"/>
      <c r="G90" s="118"/>
      <c r="H90" s="118"/>
      <c r="I90" s="118"/>
      <c r="J90" s="118"/>
      <c r="K90" s="118"/>
      <c r="L90" s="118"/>
      <c r="M90" s="118"/>
      <c r="N90" s="118"/>
      <c r="O90" s="118"/>
      <c r="P90" s="118"/>
      <c r="Q90" s="118"/>
      <c r="R90" s="118"/>
      <c r="S90" s="76"/>
    </row>
    <row r="91" spans="1:26" x14ac:dyDescent="0.25">
      <c r="A91" s="127"/>
      <c r="B91" s="118"/>
      <c r="C91" s="118"/>
      <c r="D91" s="118"/>
      <c r="E91" s="118"/>
      <c r="F91" s="118"/>
      <c r="G91" s="118"/>
      <c r="H91" s="118"/>
      <c r="I91" s="118"/>
      <c r="J91" s="118"/>
      <c r="K91" s="118"/>
      <c r="L91" s="118"/>
      <c r="M91" s="118"/>
      <c r="N91" s="118"/>
      <c r="O91" s="118"/>
      <c r="P91" s="118"/>
      <c r="Q91" s="118"/>
      <c r="R91" s="118"/>
      <c r="S91" s="77"/>
    </row>
    <row r="92" spans="1:26" ht="15" customHeight="1" x14ac:dyDescent="0.25">
      <c r="A92" s="127"/>
      <c r="B92" s="118"/>
      <c r="C92" s="118"/>
      <c r="D92" s="118"/>
      <c r="E92" s="118"/>
      <c r="F92" s="118"/>
      <c r="G92" s="118"/>
      <c r="H92" s="118"/>
      <c r="I92" s="118"/>
      <c r="J92" s="118"/>
      <c r="K92" s="118"/>
      <c r="L92" s="118"/>
      <c r="M92" s="118"/>
      <c r="N92" s="118"/>
      <c r="O92" s="118"/>
      <c r="P92" s="118"/>
      <c r="Q92" s="118"/>
      <c r="R92" s="118"/>
      <c r="S92" s="77"/>
    </row>
    <row r="93" spans="1:26" ht="15" customHeight="1" x14ac:dyDescent="0.25">
      <c r="A93" s="14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77"/>
    </row>
    <row r="94" spans="1:26" ht="15" customHeight="1" x14ac:dyDescent="0.25">
      <c r="A94" s="14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77"/>
    </row>
    <row r="95" spans="1:26" ht="15" customHeight="1" x14ac:dyDescent="0.25">
      <c r="A95" s="80"/>
      <c r="B95" s="54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77"/>
    </row>
    <row r="96" spans="1:26" ht="15" customHeight="1" x14ac:dyDescent="0.25">
      <c r="A96" s="80"/>
      <c r="B96" s="54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77"/>
    </row>
    <row r="97" spans="1:19" ht="15" customHeight="1" x14ac:dyDescent="0.25">
      <c r="A97" s="80"/>
      <c r="B97" s="125"/>
      <c r="C97" s="125"/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77"/>
    </row>
    <row r="98" spans="1:19" ht="15" customHeight="1" x14ac:dyDescent="0.25">
      <c r="A98" s="82"/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77"/>
    </row>
    <row r="99" spans="1:19" ht="15" customHeight="1" x14ac:dyDescent="0.25">
      <c r="A99" s="128"/>
      <c r="B99" s="125"/>
      <c r="C99" s="125"/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6"/>
    </row>
    <row r="100" spans="1:19" ht="15" customHeight="1" x14ac:dyDescent="0.25">
      <c r="A100" s="128"/>
      <c r="B100" s="125"/>
      <c r="C100" s="125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6"/>
    </row>
    <row r="101" spans="1:19" ht="15" customHeight="1" x14ac:dyDescent="0.25">
      <c r="A101" s="128"/>
      <c r="B101" s="125"/>
      <c r="C101" s="125"/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6"/>
    </row>
    <row r="102" spans="1:19" ht="15" customHeight="1" x14ac:dyDescent="0.25">
      <c r="A102" s="128"/>
      <c r="B102" s="125"/>
      <c r="C102" s="125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6"/>
    </row>
    <row r="103" spans="1:19" ht="15" customHeight="1" x14ac:dyDescent="0.25">
      <c r="A103" s="128"/>
      <c r="B103" s="125"/>
      <c r="C103" s="125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6"/>
    </row>
    <row r="104" spans="1:19" ht="15" customHeight="1" x14ac:dyDescent="0.25">
      <c r="A104" s="128"/>
      <c r="B104" s="125"/>
      <c r="C104" s="125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6"/>
    </row>
    <row r="105" spans="1:19" ht="15" customHeight="1" x14ac:dyDescent="0.25">
      <c r="A105" s="128"/>
      <c r="B105" s="125"/>
      <c r="C105" s="125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6"/>
    </row>
    <row r="106" spans="1:19" ht="15" customHeight="1" x14ac:dyDescent="0.25">
      <c r="A106" s="128"/>
      <c r="B106" s="125"/>
      <c r="C106" s="125"/>
      <c r="D106" s="125"/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6"/>
    </row>
    <row r="107" spans="1:19" ht="15" customHeight="1" x14ac:dyDescent="0.25">
      <c r="A107" s="128"/>
      <c r="B107" s="125"/>
      <c r="C107" s="125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6"/>
    </row>
    <row r="108" spans="1:19" ht="15" customHeight="1" x14ac:dyDescent="0.25">
      <c r="A108" s="128"/>
      <c r="B108" s="125"/>
      <c r="C108" s="125"/>
      <c r="D108" s="125"/>
      <c r="E108" s="125"/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6"/>
    </row>
    <row r="109" spans="1:19" ht="15" customHeight="1" x14ac:dyDescent="0.25">
      <c r="A109" s="128"/>
      <c r="B109" s="125"/>
      <c r="C109" s="125"/>
      <c r="D109" s="125"/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6"/>
    </row>
    <row r="110" spans="1:19" ht="15" customHeight="1" x14ac:dyDescent="0.25">
      <c r="A110" s="128"/>
      <c r="B110" s="125"/>
      <c r="C110" s="125"/>
      <c r="D110" s="125"/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6"/>
    </row>
    <row r="111" spans="1:19" ht="15" customHeight="1" x14ac:dyDescent="0.25">
      <c r="A111" s="128"/>
      <c r="B111" s="125"/>
      <c r="C111" s="125"/>
      <c r="D111" s="125"/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6"/>
    </row>
    <row r="112" spans="1:19" ht="15" customHeight="1" x14ac:dyDescent="0.25">
      <c r="A112" s="128"/>
      <c r="B112" s="125"/>
      <c r="C112" s="125"/>
      <c r="D112" s="125"/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6"/>
    </row>
    <row r="113" spans="1:19" ht="15" customHeight="1" x14ac:dyDescent="0.25">
      <c r="A113" s="128"/>
      <c r="B113" s="125"/>
      <c r="C113" s="125"/>
      <c r="D113" s="125"/>
      <c r="E113" s="125"/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6"/>
    </row>
    <row r="114" spans="1:19" ht="15" customHeight="1" x14ac:dyDescent="0.25">
      <c r="A114" s="128"/>
      <c r="B114" s="125"/>
      <c r="C114" s="125"/>
      <c r="D114" s="125"/>
      <c r="E114" s="125"/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6"/>
    </row>
    <row r="115" spans="1:19" ht="15" customHeight="1" x14ac:dyDescent="0.25">
      <c r="A115" s="128"/>
      <c r="B115" s="125"/>
      <c r="C115" s="125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6"/>
    </row>
    <row r="116" spans="1:19" ht="15" customHeight="1" x14ac:dyDescent="0.25">
      <c r="A116" s="128"/>
      <c r="B116" s="125"/>
      <c r="C116" s="125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6"/>
    </row>
    <row r="117" spans="1:19" ht="15" customHeight="1" x14ac:dyDescent="0.25">
      <c r="A117" s="128"/>
      <c r="B117" s="125"/>
      <c r="C117" s="125"/>
      <c r="D117" s="125"/>
      <c r="E117" s="125"/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6"/>
    </row>
    <row r="118" spans="1:19" ht="15" customHeight="1" x14ac:dyDescent="0.25">
      <c r="A118" s="128"/>
      <c r="B118" s="125"/>
      <c r="C118" s="125"/>
      <c r="D118" s="125"/>
      <c r="E118" s="125"/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6"/>
    </row>
    <row r="119" spans="1:19" ht="15" customHeight="1" x14ac:dyDescent="0.25">
      <c r="A119" s="128"/>
      <c r="B119" s="125"/>
      <c r="C119" s="125"/>
      <c r="D119" s="125"/>
      <c r="E119" s="125"/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6"/>
    </row>
    <row r="120" spans="1:19" ht="15" customHeight="1" x14ac:dyDescent="0.25">
      <c r="A120" s="128"/>
      <c r="B120" s="125"/>
      <c r="C120" s="125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6"/>
    </row>
    <row r="121" spans="1:19" ht="15" customHeight="1" x14ac:dyDescent="0.25">
      <c r="A121" s="128"/>
      <c r="B121" s="125"/>
      <c r="C121" s="125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6"/>
    </row>
    <row r="122" spans="1:19" ht="15" customHeight="1" x14ac:dyDescent="0.25">
      <c r="A122" s="128"/>
      <c r="B122" s="125"/>
      <c r="C122" s="125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6"/>
    </row>
    <row r="123" spans="1:19" ht="15" customHeight="1" x14ac:dyDescent="0.25">
      <c r="A123" s="128"/>
      <c r="B123" s="125"/>
      <c r="C123" s="125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6"/>
    </row>
    <row r="124" spans="1:19" ht="15" customHeight="1" x14ac:dyDescent="0.25">
      <c r="A124" s="128"/>
      <c r="B124" s="125"/>
      <c r="C124" s="125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6"/>
    </row>
    <row r="125" spans="1:19" ht="15" customHeight="1" x14ac:dyDescent="0.25">
      <c r="A125" s="128"/>
      <c r="B125" s="125"/>
      <c r="C125" s="125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6"/>
    </row>
    <row r="126" spans="1:19" ht="15" customHeight="1" x14ac:dyDescent="0.25">
      <c r="A126" s="128"/>
      <c r="B126" s="125"/>
      <c r="C126" s="125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6"/>
    </row>
    <row r="127" spans="1:19" ht="15" customHeight="1" x14ac:dyDescent="0.25">
      <c r="A127" s="128"/>
      <c r="B127" s="125"/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6"/>
    </row>
    <row r="128" spans="1:19" ht="15" customHeight="1" x14ac:dyDescent="0.25">
      <c r="A128" s="128"/>
      <c r="B128" s="125"/>
      <c r="C128" s="125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6"/>
    </row>
    <row r="129" spans="1:27" ht="15" customHeight="1" x14ac:dyDescent="0.25">
      <c r="A129" s="128"/>
      <c r="B129" s="125"/>
      <c r="C129" s="125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6"/>
    </row>
    <row r="130" spans="1:27" ht="15" customHeight="1" x14ac:dyDescent="0.25">
      <c r="A130" s="128"/>
      <c r="B130" s="125"/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6"/>
    </row>
    <row r="131" spans="1:27" ht="15" customHeight="1" x14ac:dyDescent="0.25">
      <c r="A131" s="128"/>
      <c r="B131" s="125"/>
      <c r="C131" s="125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6"/>
    </row>
    <row r="132" spans="1:27" ht="15" customHeight="1" x14ac:dyDescent="0.25">
      <c r="A132" s="5"/>
      <c r="B132" s="125"/>
      <c r="C132" s="125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6"/>
    </row>
    <row r="133" spans="1:27" ht="15" customHeight="1" x14ac:dyDescent="0.25">
      <c r="A133" s="5"/>
      <c r="B133" s="125"/>
      <c r="C133" s="125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6"/>
    </row>
    <row r="134" spans="1:27" ht="15" customHeight="1" x14ac:dyDescent="0.25">
      <c r="A134" s="5"/>
      <c r="B134" s="125"/>
      <c r="C134" s="125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6"/>
    </row>
    <row r="135" spans="1:27" ht="15" customHeight="1" x14ac:dyDescent="0.25">
      <c r="A135" s="5"/>
      <c r="B135" s="125"/>
      <c r="C135" s="125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6"/>
    </row>
    <row r="136" spans="1:27" x14ac:dyDescent="0.25">
      <c r="A136" s="15"/>
      <c r="S136" s="6"/>
    </row>
    <row r="137" spans="1:27" ht="15" customHeight="1" x14ac:dyDescent="0.25">
      <c r="A137" s="14"/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6"/>
    </row>
    <row r="138" spans="1:27" ht="15" customHeight="1" x14ac:dyDescent="0.25">
      <c r="A138" s="14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6"/>
    </row>
    <row r="139" spans="1:27" ht="15" customHeight="1" x14ac:dyDescent="0.25">
      <c r="A139" s="14"/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6"/>
    </row>
    <row r="140" spans="1:27" ht="15" customHeight="1" x14ac:dyDescent="0.25">
      <c r="A140" s="80"/>
      <c r="B140" s="54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76"/>
    </row>
    <row r="141" spans="1:27" ht="15" customHeight="1" x14ac:dyDescent="0.25">
      <c r="A141" s="80"/>
      <c r="B141" s="54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76"/>
    </row>
    <row r="142" spans="1:27" ht="15" customHeight="1" x14ac:dyDescent="0.25">
      <c r="A142" s="83"/>
      <c r="B142" s="59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78"/>
    </row>
    <row r="143" spans="1:27" x14ac:dyDescent="0.25">
      <c r="G143" s="30"/>
      <c r="AA143" s="2"/>
    </row>
    <row r="144" spans="1:27" ht="15" customHeight="1" x14ac:dyDescent="0.25">
      <c r="G144" s="30"/>
      <c r="AA144" s="2"/>
    </row>
    <row r="145" spans="7:27" x14ac:dyDescent="0.25">
      <c r="G145" s="30"/>
      <c r="AA145" s="2"/>
    </row>
    <row r="146" spans="7:27" x14ac:dyDescent="0.25">
      <c r="G146" s="30"/>
      <c r="AA146" s="2"/>
    </row>
    <row r="147" spans="7:27" x14ac:dyDescent="0.25">
      <c r="G147" s="30"/>
      <c r="AA147" s="2"/>
    </row>
    <row r="148" spans="7:27" x14ac:dyDescent="0.25">
      <c r="G148" s="30"/>
      <c r="AA148" s="2"/>
    </row>
    <row r="149" spans="7:27" x14ac:dyDescent="0.25">
      <c r="G149" s="30"/>
      <c r="AA149" s="2"/>
    </row>
    <row r="150" spans="7:27" x14ac:dyDescent="0.25">
      <c r="G150" s="30"/>
      <c r="AA150" s="2"/>
    </row>
    <row r="151" spans="7:27" x14ac:dyDescent="0.25">
      <c r="G151" s="30"/>
      <c r="AA151" s="2"/>
    </row>
    <row r="152" spans="7:27" x14ac:dyDescent="0.25">
      <c r="G152" s="30"/>
      <c r="AA152" s="2"/>
    </row>
    <row r="153" spans="7:27" x14ac:dyDescent="0.25">
      <c r="G153" s="30"/>
      <c r="AA153" s="2"/>
    </row>
    <row r="154" spans="7:27" x14ac:dyDescent="0.25">
      <c r="G154" s="30"/>
      <c r="AA154" s="2"/>
    </row>
    <row r="155" spans="7:27" x14ac:dyDescent="0.25">
      <c r="G155" s="30"/>
      <c r="AA155" s="2"/>
    </row>
    <row r="156" spans="7:27" x14ac:dyDescent="0.25">
      <c r="G156" s="30"/>
      <c r="AA156" s="2"/>
    </row>
    <row r="157" spans="7:27" x14ac:dyDescent="0.25">
      <c r="G157" s="30"/>
      <c r="AA157" s="2"/>
    </row>
    <row r="158" spans="7:27" x14ac:dyDescent="0.25">
      <c r="G158" s="30"/>
      <c r="AA158" s="2"/>
    </row>
    <row r="159" spans="7:27" x14ac:dyDescent="0.25">
      <c r="G159" s="30"/>
      <c r="AA159" s="2"/>
    </row>
    <row r="160" spans="7:27" x14ac:dyDescent="0.25">
      <c r="G160" s="30"/>
      <c r="AA160" s="2"/>
    </row>
    <row r="161" spans="7:27" x14ac:dyDescent="0.25">
      <c r="G161" s="30"/>
      <c r="AA161" s="2"/>
    </row>
    <row r="162" spans="7:27" x14ac:dyDescent="0.25">
      <c r="G162" s="30"/>
      <c r="AA162" s="2"/>
    </row>
    <row r="163" spans="7:27" x14ac:dyDescent="0.25">
      <c r="G163" s="30"/>
      <c r="AA163" s="2"/>
    </row>
    <row r="164" spans="7:27" x14ac:dyDescent="0.25">
      <c r="G164" s="30"/>
      <c r="AA164" s="2"/>
    </row>
    <row r="165" spans="7:27" x14ac:dyDescent="0.25">
      <c r="G165" s="30"/>
      <c r="AA165" s="2"/>
    </row>
    <row r="166" spans="7:27" x14ac:dyDescent="0.25">
      <c r="G166" s="30"/>
      <c r="AA166" s="2"/>
    </row>
    <row r="167" spans="7:27" x14ac:dyDescent="0.25">
      <c r="G167" s="30"/>
      <c r="AA167" s="2"/>
    </row>
    <row r="168" spans="7:27" x14ac:dyDescent="0.25">
      <c r="G168" s="30"/>
      <c r="AA168" s="2"/>
    </row>
    <row r="169" spans="7:27" x14ac:dyDescent="0.25">
      <c r="G169" s="30"/>
      <c r="AA169" s="2"/>
    </row>
    <row r="170" spans="7:27" x14ac:dyDescent="0.25">
      <c r="G170" s="30"/>
      <c r="AA170" s="2"/>
    </row>
    <row r="171" spans="7:27" x14ac:dyDescent="0.25">
      <c r="G171" s="30"/>
      <c r="AA171" s="2"/>
    </row>
    <row r="172" spans="7:27" x14ac:dyDescent="0.25">
      <c r="G172" s="30"/>
      <c r="AA172" s="2"/>
    </row>
    <row r="173" spans="7:27" x14ac:dyDescent="0.25">
      <c r="G173" s="30"/>
      <c r="AA173" s="2"/>
    </row>
    <row r="174" spans="7:27" x14ac:dyDescent="0.25">
      <c r="G174" s="30"/>
      <c r="AA174" s="2"/>
    </row>
    <row r="175" spans="7:27" x14ac:dyDescent="0.25">
      <c r="G175" s="30"/>
      <c r="AA175" s="2"/>
    </row>
    <row r="176" spans="7:27" x14ac:dyDescent="0.25">
      <c r="G176" s="30"/>
      <c r="AA176" s="2"/>
    </row>
    <row r="177" spans="7:27" x14ac:dyDescent="0.25">
      <c r="G177" s="30"/>
      <c r="AA177" s="2"/>
    </row>
    <row r="178" spans="7:27" x14ac:dyDescent="0.25">
      <c r="G178" s="30"/>
      <c r="AA178" s="2"/>
    </row>
    <row r="179" spans="7:27" x14ac:dyDescent="0.25">
      <c r="G179" s="30"/>
      <c r="AA179" s="2"/>
    </row>
    <row r="180" spans="7:27" x14ac:dyDescent="0.25">
      <c r="G180" s="30"/>
      <c r="AA180" s="2"/>
    </row>
    <row r="181" spans="7:27" x14ac:dyDescent="0.25">
      <c r="G181" s="30"/>
      <c r="AA181" s="2"/>
    </row>
    <row r="182" spans="7:27" ht="15" customHeight="1" x14ac:dyDescent="0.25">
      <c r="G182" s="30"/>
      <c r="AA182" s="2"/>
    </row>
    <row r="183" spans="7:27" ht="15" customHeight="1" x14ac:dyDescent="0.25">
      <c r="G183" s="30"/>
      <c r="AA183" s="2"/>
    </row>
    <row r="184" spans="7:27" ht="15" customHeight="1" x14ac:dyDescent="0.25">
      <c r="G184" s="30"/>
      <c r="AA184" s="2"/>
    </row>
    <row r="185" spans="7:27" ht="15" customHeight="1" x14ac:dyDescent="0.25">
      <c r="G185" s="30"/>
      <c r="AA185" s="2"/>
    </row>
    <row r="186" spans="7:27" ht="15" customHeight="1" x14ac:dyDescent="0.25">
      <c r="G186" s="30"/>
      <c r="AA186" s="2"/>
    </row>
    <row r="187" spans="7:27" ht="15" customHeight="1" x14ac:dyDescent="0.25">
      <c r="G187" s="30"/>
      <c r="AA187" s="2"/>
    </row>
    <row r="188" spans="7:27" x14ac:dyDescent="0.25">
      <c r="G188" s="30"/>
      <c r="AA188" s="2"/>
    </row>
    <row r="189" spans="7:27" ht="15" customHeight="1" x14ac:dyDescent="0.25">
      <c r="G189" s="30"/>
      <c r="AA189" s="2"/>
    </row>
    <row r="190" spans="7:27" x14ac:dyDescent="0.25">
      <c r="G190" s="30"/>
      <c r="AA190" s="2"/>
    </row>
    <row r="191" spans="7:27" x14ac:dyDescent="0.25">
      <c r="G191" s="30"/>
      <c r="AA191" s="2"/>
    </row>
    <row r="192" spans="7:27" x14ac:dyDescent="0.25">
      <c r="G192" s="30"/>
      <c r="AA192" s="2"/>
    </row>
    <row r="193" spans="7:27" x14ac:dyDescent="0.25">
      <c r="G193" s="30"/>
      <c r="AA193" s="2"/>
    </row>
    <row r="194" spans="7:27" x14ac:dyDescent="0.25">
      <c r="G194" s="30"/>
      <c r="AA194" s="2"/>
    </row>
    <row r="195" spans="7:27" x14ac:dyDescent="0.25">
      <c r="G195" s="30"/>
      <c r="AA195" s="2"/>
    </row>
    <row r="196" spans="7:27" x14ac:dyDescent="0.25">
      <c r="G196" s="30"/>
      <c r="AA196" s="2"/>
    </row>
    <row r="197" spans="7:27" x14ac:dyDescent="0.25">
      <c r="G197" s="30"/>
      <c r="AA197" s="2"/>
    </row>
    <row r="198" spans="7:27" x14ac:dyDescent="0.25">
      <c r="G198" s="30"/>
      <c r="AA198" s="2"/>
    </row>
    <row r="199" spans="7:27" x14ac:dyDescent="0.25">
      <c r="G199" s="30"/>
      <c r="AA199" s="2"/>
    </row>
    <row r="200" spans="7:27" x14ac:dyDescent="0.25">
      <c r="G200" s="30"/>
      <c r="AA200" s="2"/>
    </row>
    <row r="201" spans="7:27" x14ac:dyDescent="0.25">
      <c r="G201" s="30"/>
      <c r="AA201" s="2"/>
    </row>
    <row r="202" spans="7:27" x14ac:dyDescent="0.25">
      <c r="G202" s="30"/>
      <c r="AA202" s="2"/>
    </row>
    <row r="203" spans="7:27" x14ac:dyDescent="0.25">
      <c r="G203" s="30"/>
      <c r="AA203" s="2"/>
    </row>
    <row r="204" spans="7:27" x14ac:dyDescent="0.25">
      <c r="G204" s="30"/>
      <c r="AA204" s="2"/>
    </row>
    <row r="205" spans="7:27" x14ac:dyDescent="0.25">
      <c r="G205" s="30"/>
      <c r="AA205" s="2"/>
    </row>
    <row r="206" spans="7:27" x14ac:dyDescent="0.25">
      <c r="G206" s="30"/>
      <c r="AA206" s="2"/>
    </row>
    <row r="207" spans="7:27" x14ac:dyDescent="0.25">
      <c r="G207" s="30"/>
      <c r="AA207" s="2"/>
    </row>
    <row r="208" spans="7:27" x14ac:dyDescent="0.25">
      <c r="G208" s="30"/>
      <c r="AA208" s="2"/>
    </row>
    <row r="209" spans="7:27" x14ac:dyDescent="0.25">
      <c r="G209" s="30"/>
      <c r="AA209" s="2"/>
    </row>
    <row r="210" spans="7:27" x14ac:dyDescent="0.25">
      <c r="G210" s="30"/>
      <c r="AA210" s="2"/>
    </row>
    <row r="211" spans="7:27" x14ac:dyDescent="0.25">
      <c r="G211" s="30"/>
      <c r="AA211" s="2"/>
    </row>
    <row r="212" spans="7:27" x14ac:dyDescent="0.25">
      <c r="G212" s="30"/>
      <c r="AA212" s="2"/>
    </row>
    <row r="213" spans="7:27" x14ac:dyDescent="0.25">
      <c r="G213" s="30"/>
      <c r="AA213" s="2"/>
    </row>
    <row r="214" spans="7:27" x14ac:dyDescent="0.25">
      <c r="G214" s="30"/>
      <c r="AA214" s="2"/>
    </row>
    <row r="215" spans="7:27" x14ac:dyDescent="0.25">
      <c r="G215" s="30"/>
      <c r="AA215" s="2"/>
    </row>
    <row r="216" spans="7:27" x14ac:dyDescent="0.25">
      <c r="G216" s="30"/>
      <c r="AA216" s="2"/>
    </row>
    <row r="217" spans="7:27" x14ac:dyDescent="0.25">
      <c r="G217" s="30"/>
      <c r="AA217" s="2"/>
    </row>
    <row r="218" spans="7:27" x14ac:dyDescent="0.25">
      <c r="G218" s="30"/>
      <c r="AA218" s="2"/>
    </row>
    <row r="219" spans="7:27" x14ac:dyDescent="0.25">
      <c r="G219" s="30"/>
      <c r="AA219" s="2"/>
    </row>
    <row r="220" spans="7:27" x14ac:dyDescent="0.25">
      <c r="G220" s="30"/>
      <c r="AA220" s="2"/>
    </row>
    <row r="221" spans="7:27" x14ac:dyDescent="0.25">
      <c r="G221" s="30"/>
      <c r="AA221" s="2"/>
    </row>
    <row r="222" spans="7:27" x14ac:dyDescent="0.25">
      <c r="G222" s="30"/>
      <c r="AA222" s="2"/>
    </row>
    <row r="223" spans="7:27" x14ac:dyDescent="0.25">
      <c r="G223" s="30"/>
      <c r="AA223" s="2"/>
    </row>
    <row r="224" spans="7:27" x14ac:dyDescent="0.25">
      <c r="G224" s="30"/>
      <c r="AA224" s="2"/>
    </row>
    <row r="225" spans="7:27" x14ac:dyDescent="0.25">
      <c r="G225" s="30"/>
      <c r="AA225" s="2"/>
    </row>
    <row r="226" spans="7:27" x14ac:dyDescent="0.25">
      <c r="G226" s="30"/>
      <c r="AA226" s="2"/>
    </row>
    <row r="227" spans="7:27" ht="15" customHeight="1" x14ac:dyDescent="0.25">
      <c r="G227" s="30"/>
      <c r="AA227" s="2"/>
    </row>
    <row r="228" spans="7:27" ht="15" customHeight="1" x14ac:dyDescent="0.25">
      <c r="G228" s="30"/>
      <c r="AA228" s="2"/>
    </row>
    <row r="229" spans="7:27" ht="15" customHeight="1" x14ac:dyDescent="0.25">
      <c r="G229" s="30"/>
      <c r="AA229" s="2"/>
    </row>
    <row r="230" spans="7:27" ht="15" customHeight="1" x14ac:dyDescent="0.25">
      <c r="G230" s="30"/>
      <c r="AA230" s="2"/>
    </row>
    <row r="231" spans="7:27" ht="15" customHeight="1" x14ac:dyDescent="0.25">
      <c r="G231" s="30"/>
      <c r="AA231" s="2"/>
    </row>
    <row r="232" spans="7:27" ht="15" customHeight="1" x14ac:dyDescent="0.25">
      <c r="G232" s="30"/>
      <c r="AA232" s="2"/>
    </row>
    <row r="233" spans="7:27" x14ac:dyDescent="0.25">
      <c r="G233" s="30"/>
      <c r="AA233" s="2"/>
    </row>
    <row r="234" spans="7:27" ht="15" customHeight="1" x14ac:dyDescent="0.25">
      <c r="G234" s="30"/>
      <c r="AA234" s="2"/>
    </row>
    <row r="235" spans="7:27" x14ac:dyDescent="0.25">
      <c r="G235" s="30"/>
      <c r="AA235" s="2"/>
    </row>
    <row r="236" spans="7:27" x14ac:dyDescent="0.25">
      <c r="G236" s="30"/>
      <c r="AA236" s="2"/>
    </row>
    <row r="237" spans="7:27" x14ac:dyDescent="0.25">
      <c r="G237" s="30"/>
      <c r="AA237" s="2"/>
    </row>
    <row r="238" spans="7:27" x14ac:dyDescent="0.25">
      <c r="G238" s="30"/>
      <c r="AA238" s="2"/>
    </row>
    <row r="239" spans="7:27" x14ac:dyDescent="0.25">
      <c r="G239" s="30"/>
      <c r="AA239" s="2"/>
    </row>
    <row r="240" spans="7:27" x14ac:dyDescent="0.25">
      <c r="G240" s="30"/>
      <c r="AA240" s="2"/>
    </row>
    <row r="241" spans="7:27" x14ac:dyDescent="0.25">
      <c r="G241" s="30"/>
      <c r="AA241" s="2"/>
    </row>
    <row r="242" spans="7:27" x14ac:dyDescent="0.25">
      <c r="G242" s="30"/>
      <c r="AA242" s="2"/>
    </row>
    <row r="243" spans="7:27" x14ac:dyDescent="0.25">
      <c r="G243" s="30"/>
      <c r="AA243" s="2"/>
    </row>
    <row r="244" spans="7:27" x14ac:dyDescent="0.25">
      <c r="G244" s="30"/>
      <c r="AA244" s="2"/>
    </row>
    <row r="245" spans="7:27" x14ac:dyDescent="0.25">
      <c r="G245" s="30"/>
      <c r="AA245" s="2"/>
    </row>
    <row r="246" spans="7:27" x14ac:dyDescent="0.25">
      <c r="G246" s="30"/>
      <c r="AA246" s="2"/>
    </row>
    <row r="247" spans="7:27" x14ac:dyDescent="0.25">
      <c r="G247" s="30"/>
      <c r="AA247" s="2"/>
    </row>
    <row r="248" spans="7:27" x14ac:dyDescent="0.25">
      <c r="G248" s="30"/>
      <c r="AA248" s="2"/>
    </row>
    <row r="249" spans="7:27" x14ac:dyDescent="0.25">
      <c r="G249" s="30"/>
      <c r="AA249" s="2"/>
    </row>
    <row r="250" spans="7:27" x14ac:dyDescent="0.25">
      <c r="G250" s="30"/>
      <c r="AA250" s="2"/>
    </row>
    <row r="251" spans="7:27" x14ac:dyDescent="0.25">
      <c r="G251" s="30"/>
      <c r="AA251" s="2"/>
    </row>
    <row r="252" spans="7:27" x14ac:dyDescent="0.25">
      <c r="G252" s="30"/>
      <c r="AA252" s="2"/>
    </row>
    <row r="253" spans="7:27" x14ac:dyDescent="0.25">
      <c r="G253" s="30"/>
      <c r="AA253" s="2"/>
    </row>
    <row r="254" spans="7:27" x14ac:dyDescent="0.25">
      <c r="G254" s="30"/>
      <c r="AA254" s="2"/>
    </row>
    <row r="255" spans="7:27" x14ac:dyDescent="0.25">
      <c r="G255" s="30"/>
      <c r="AA255" s="2"/>
    </row>
    <row r="256" spans="7:27" x14ac:dyDescent="0.25">
      <c r="G256" s="30"/>
      <c r="AA256" s="2"/>
    </row>
    <row r="257" spans="7:27" x14ac:dyDescent="0.25">
      <c r="G257" s="30"/>
      <c r="AA257" s="2"/>
    </row>
    <row r="258" spans="7:27" x14ac:dyDescent="0.25">
      <c r="G258" s="30"/>
      <c r="AA258" s="2"/>
    </row>
    <row r="259" spans="7:27" x14ac:dyDescent="0.25">
      <c r="G259" s="30"/>
      <c r="AA259" s="2"/>
    </row>
    <row r="260" spans="7:27" x14ac:dyDescent="0.25">
      <c r="G260" s="30"/>
      <c r="AA260" s="2"/>
    </row>
    <row r="261" spans="7:27" x14ac:dyDescent="0.25">
      <c r="G261" s="30"/>
      <c r="AA261" s="2"/>
    </row>
    <row r="262" spans="7:27" x14ac:dyDescent="0.25">
      <c r="G262" s="30"/>
      <c r="AA262" s="2"/>
    </row>
    <row r="263" spans="7:27" x14ac:dyDescent="0.25">
      <c r="G263" s="30"/>
      <c r="AA263" s="2"/>
    </row>
    <row r="264" spans="7:27" x14ac:dyDescent="0.25">
      <c r="G264" s="30"/>
      <c r="AA264" s="2"/>
    </row>
    <row r="265" spans="7:27" x14ac:dyDescent="0.25">
      <c r="G265" s="30"/>
      <c r="AA265" s="2"/>
    </row>
    <row r="266" spans="7:27" x14ac:dyDescent="0.25">
      <c r="G266" s="30"/>
      <c r="AA266" s="2"/>
    </row>
    <row r="267" spans="7:27" x14ac:dyDescent="0.25">
      <c r="G267" s="30"/>
      <c r="AA267" s="2"/>
    </row>
    <row r="268" spans="7:27" x14ac:dyDescent="0.25">
      <c r="G268" s="30"/>
      <c r="AA268" s="2"/>
    </row>
    <row r="269" spans="7:27" x14ac:dyDescent="0.25">
      <c r="G269" s="30"/>
      <c r="AA269" s="2"/>
    </row>
    <row r="270" spans="7:27" x14ac:dyDescent="0.25">
      <c r="G270" s="30"/>
      <c r="AA270" s="2"/>
    </row>
    <row r="271" spans="7:27" x14ac:dyDescent="0.25">
      <c r="G271" s="30"/>
      <c r="AA271" s="2"/>
    </row>
    <row r="272" spans="7:27" x14ac:dyDescent="0.25">
      <c r="G272" s="30"/>
      <c r="AA272" s="2"/>
    </row>
    <row r="273" spans="7:27" x14ac:dyDescent="0.25">
      <c r="G273" s="30"/>
      <c r="AA273" s="2"/>
    </row>
  </sheetData>
  <mergeCells count="12">
    <mergeCell ref="B11:R49"/>
    <mergeCell ref="A54:A92"/>
    <mergeCell ref="B54:R92"/>
    <mergeCell ref="B97:R135"/>
    <mergeCell ref="A99:A131"/>
    <mergeCell ref="E1:O3"/>
    <mergeCell ref="E4:E5"/>
    <mergeCell ref="F4:O5"/>
    <mergeCell ref="E6:E7"/>
    <mergeCell ref="F6:O7"/>
    <mergeCell ref="E8:E9"/>
    <mergeCell ref="F8:O9"/>
  </mergeCells>
  <pageMargins left="0.19685039370078741" right="0.19685039370078741" top="0.19685039370078741" bottom="0.19685039370078741" header="0" footer="0.35433070866141736"/>
  <pageSetup paperSize="9" scale="39" fitToHeight="3" orientation="portrait" horizontalDpi="1200" verticalDpi="1200" r:id="rId1"/>
  <headerFooter alignWithMargins="0">
    <oddFooter xml:space="preserve">&amp;C&amp;18Tooshop | M. Santos | &amp;D&amp;R&amp;18Página &amp;P de &amp;N         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D273"/>
  <sheetViews>
    <sheetView view="pageBreakPreview" zoomScale="37" zoomScaleNormal="70" zoomScaleSheetLayoutView="37" workbookViewId="0">
      <selection activeCell="T57" sqref="T57"/>
    </sheetView>
  </sheetViews>
  <sheetFormatPr defaultRowHeight="15" x14ac:dyDescent="0.25"/>
  <cols>
    <col min="1" max="1" width="4.7109375" style="2" customWidth="1"/>
    <col min="2" max="2" width="9.140625" style="2"/>
    <col min="3" max="4" width="15.7109375" style="2" customWidth="1"/>
    <col min="5" max="5" width="30.7109375" style="2" customWidth="1"/>
    <col min="6" max="6" width="18.7109375" style="2" customWidth="1"/>
    <col min="7" max="13" width="9.140625" style="2"/>
    <col min="14" max="14" width="25.7109375" style="2" customWidth="1"/>
    <col min="15" max="15" width="30.7109375" style="2" customWidth="1"/>
    <col min="16" max="17" width="15.7109375" style="2" customWidth="1"/>
    <col min="18" max="18" width="9.140625" style="2" customWidth="1"/>
    <col min="19" max="19" width="4.5703125" style="2" customWidth="1"/>
    <col min="20" max="20" width="50.140625" style="2" customWidth="1"/>
    <col min="21" max="21" width="6.85546875" style="2" customWidth="1"/>
    <col min="22" max="22" width="6.5703125" style="2" customWidth="1"/>
    <col min="23" max="23" width="6.7109375" style="2" customWidth="1"/>
    <col min="24" max="24" width="7.28515625" style="2" customWidth="1"/>
    <col min="25" max="25" width="9.140625" style="2"/>
    <col min="26" max="26" width="39" style="2" bestFit="1" customWidth="1"/>
    <col min="27" max="27" width="13.5703125" style="30" bestFit="1" customWidth="1"/>
    <col min="28" max="28" width="10.42578125" style="2" bestFit="1" customWidth="1"/>
    <col min="29" max="29" width="19.42578125" style="2" bestFit="1" customWidth="1"/>
    <col min="30" max="30" width="5.42578125" style="2" bestFit="1" customWidth="1"/>
    <col min="31" max="16384" width="9.140625" style="2"/>
  </cols>
  <sheetData>
    <row r="1" spans="1:30" ht="15" customHeight="1" x14ac:dyDescent="0.25">
      <c r="A1" s="13"/>
      <c r="B1" s="3"/>
      <c r="C1" s="3"/>
      <c r="D1" s="3"/>
      <c r="E1" s="116" t="s">
        <v>3</v>
      </c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3"/>
      <c r="Q1" s="3"/>
      <c r="R1" s="3"/>
      <c r="S1" s="4"/>
      <c r="T1" s="10"/>
      <c r="Z1" s="49" t="s">
        <v>4</v>
      </c>
      <c r="AA1" s="88"/>
      <c r="AB1" s="102"/>
      <c r="AC1" s="103"/>
      <c r="AD1" s="104"/>
    </row>
    <row r="2" spans="1:30" ht="15" customHeight="1" x14ac:dyDescent="0.25">
      <c r="A2" s="14"/>
      <c r="B2" s="56"/>
      <c r="C2" s="56"/>
      <c r="D2" s="56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58"/>
      <c r="Q2" s="56"/>
      <c r="R2" s="56"/>
      <c r="S2" s="6"/>
      <c r="Z2" s="50" t="s">
        <v>477</v>
      </c>
      <c r="AA2" s="89"/>
      <c r="AB2" s="95"/>
      <c r="AC2" s="95"/>
      <c r="AD2" s="105"/>
    </row>
    <row r="3" spans="1:30" ht="15" customHeight="1" x14ac:dyDescent="0.25">
      <c r="A3" s="14"/>
      <c r="B3" s="56"/>
      <c r="C3" s="56"/>
      <c r="D3" s="56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58"/>
      <c r="Q3" s="56"/>
      <c r="R3" s="56"/>
      <c r="S3" s="6"/>
      <c r="Z3" s="50" t="s">
        <v>476</v>
      </c>
      <c r="AA3" s="89">
        <v>1</v>
      </c>
      <c r="AB3" s="95"/>
      <c r="AC3" s="95"/>
      <c r="AD3" s="105"/>
    </row>
    <row r="4" spans="1:30" ht="15" customHeight="1" x14ac:dyDescent="0.25">
      <c r="A4" s="14"/>
      <c r="B4" s="56"/>
      <c r="C4" s="56"/>
      <c r="D4" s="56"/>
      <c r="E4" s="129" t="str">
        <f>"Projeto: "</f>
        <v xml:space="preserve">Projeto: </v>
      </c>
      <c r="F4" s="131" t="str">
        <f>T7</f>
        <v>MQB_A1</v>
      </c>
      <c r="G4" s="131"/>
      <c r="H4" s="131"/>
      <c r="I4" s="131"/>
      <c r="J4" s="131"/>
      <c r="K4" s="131"/>
      <c r="L4" s="131"/>
      <c r="M4" s="131"/>
      <c r="N4" s="131"/>
      <c r="O4" s="132"/>
      <c r="P4" s="58"/>
      <c r="Q4" s="56"/>
      <c r="R4" s="56"/>
      <c r="S4" s="6"/>
      <c r="Z4" s="50" t="s">
        <v>218</v>
      </c>
      <c r="AA4" s="89"/>
      <c r="AB4" s="95"/>
      <c r="AC4" s="95"/>
      <c r="AD4" s="105"/>
    </row>
    <row r="5" spans="1:30" ht="15" customHeight="1" x14ac:dyDescent="0.25">
      <c r="A5" s="80"/>
      <c r="B5" s="54"/>
      <c r="C5" s="55"/>
      <c r="D5" s="55"/>
      <c r="E5" s="130"/>
      <c r="F5" s="133"/>
      <c r="G5" s="133"/>
      <c r="H5" s="133"/>
      <c r="I5" s="133"/>
      <c r="J5" s="133"/>
      <c r="K5" s="133"/>
      <c r="L5" s="133"/>
      <c r="M5" s="133"/>
      <c r="N5" s="133"/>
      <c r="O5" s="134"/>
      <c r="P5" s="58"/>
      <c r="Q5" s="55"/>
      <c r="R5" s="55"/>
      <c r="S5" s="6"/>
      <c r="Z5" s="50" t="s">
        <v>475</v>
      </c>
      <c r="AA5" s="89"/>
      <c r="AB5" s="95"/>
      <c r="AC5" s="95"/>
      <c r="AD5" s="105"/>
    </row>
    <row r="6" spans="1:30" ht="15" customHeight="1" x14ac:dyDescent="0.25">
      <c r="A6" s="80"/>
      <c r="B6" s="54"/>
      <c r="C6" s="55"/>
      <c r="D6" s="55"/>
      <c r="E6" s="135" t="str">
        <f>"Peça: "</f>
        <v xml:space="preserve">Peça: </v>
      </c>
      <c r="F6" s="136" t="str">
        <f>T8</f>
        <v>5Q0.803.233_4</v>
      </c>
      <c r="G6" s="136"/>
      <c r="H6" s="136"/>
      <c r="I6" s="136"/>
      <c r="J6" s="136"/>
      <c r="K6" s="136"/>
      <c r="L6" s="136"/>
      <c r="M6" s="136"/>
      <c r="N6" s="136"/>
      <c r="O6" s="137"/>
      <c r="P6" s="58"/>
      <c r="Q6" s="55"/>
      <c r="R6" s="55"/>
      <c r="S6" s="6"/>
      <c r="T6" s="17" t="s">
        <v>360</v>
      </c>
      <c r="Z6" s="50" t="s">
        <v>249</v>
      </c>
      <c r="AA6" s="89"/>
      <c r="AB6" s="95"/>
      <c r="AC6" s="95"/>
      <c r="AD6" s="105"/>
    </row>
    <row r="7" spans="1:30" ht="15" customHeight="1" x14ac:dyDescent="0.25">
      <c r="A7" s="80"/>
      <c r="B7" s="54"/>
      <c r="C7" s="55"/>
      <c r="D7" s="55"/>
      <c r="E7" s="130"/>
      <c r="F7" s="133"/>
      <c r="G7" s="133"/>
      <c r="H7" s="133"/>
      <c r="I7" s="133"/>
      <c r="J7" s="133"/>
      <c r="K7" s="133"/>
      <c r="L7" s="133"/>
      <c r="M7" s="133"/>
      <c r="N7" s="133"/>
      <c r="O7" s="134"/>
      <c r="P7" s="55"/>
      <c r="Q7" s="55"/>
      <c r="R7" s="55"/>
      <c r="S7" s="6"/>
      <c r="T7" s="53" t="s">
        <v>75</v>
      </c>
      <c r="Z7" s="50" t="s">
        <v>2</v>
      </c>
      <c r="AA7" s="89">
        <f>SUM(AA2:AA6)</f>
        <v>1</v>
      </c>
      <c r="AB7" s="95">
        <f>SUM(AB2:AB6)</f>
        <v>0</v>
      </c>
      <c r="AC7" s="95"/>
      <c r="AD7" s="105"/>
    </row>
    <row r="8" spans="1:30" ht="15" customHeight="1" x14ac:dyDescent="0.25">
      <c r="A8" s="15"/>
      <c r="E8" s="135" t="str">
        <f>"Ano: "</f>
        <v xml:space="preserve">Ano: </v>
      </c>
      <c r="F8" s="136">
        <f>T9</f>
        <v>2017</v>
      </c>
      <c r="G8" s="136"/>
      <c r="H8" s="136"/>
      <c r="I8" s="136"/>
      <c r="J8" s="136"/>
      <c r="K8" s="136"/>
      <c r="L8" s="136"/>
      <c r="M8" s="136"/>
      <c r="N8" s="136"/>
      <c r="O8" s="137"/>
      <c r="S8" s="6"/>
      <c r="T8" s="2" t="s">
        <v>124</v>
      </c>
      <c r="Z8" s="48" t="s">
        <v>5</v>
      </c>
      <c r="AA8" s="90"/>
      <c r="AB8" s="106"/>
      <c r="AC8" s="106"/>
      <c r="AD8" s="107"/>
    </row>
    <row r="9" spans="1:30" ht="15" customHeight="1" x14ac:dyDescent="0.25">
      <c r="A9" s="81"/>
      <c r="B9" s="57"/>
      <c r="C9" s="57"/>
      <c r="D9" s="57"/>
      <c r="E9" s="130"/>
      <c r="F9" s="133"/>
      <c r="G9" s="133"/>
      <c r="H9" s="133"/>
      <c r="I9" s="133"/>
      <c r="J9" s="133"/>
      <c r="K9" s="133"/>
      <c r="L9" s="133"/>
      <c r="M9" s="133"/>
      <c r="N9" s="133"/>
      <c r="O9" s="134"/>
      <c r="P9" s="57"/>
      <c r="Q9" s="57"/>
      <c r="R9" s="57"/>
      <c r="S9" s="6"/>
      <c r="T9" s="2">
        <v>2017</v>
      </c>
      <c r="Z9" s="44" t="s">
        <v>8</v>
      </c>
      <c r="AA9" s="91"/>
      <c r="AB9" s="108"/>
      <c r="AC9" s="108"/>
      <c r="AD9" s="109"/>
    </row>
    <row r="10" spans="1:30" x14ac:dyDescent="0.25">
      <c r="A10" s="81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6"/>
      <c r="Z10" s="44" t="s">
        <v>7</v>
      </c>
      <c r="AA10" s="91"/>
      <c r="AB10" s="108"/>
      <c r="AC10" s="108"/>
      <c r="AD10" s="109"/>
    </row>
    <row r="11" spans="1:30" ht="15" customHeight="1" x14ac:dyDescent="0.25">
      <c r="A11" s="81"/>
      <c r="B11" s="118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6"/>
      <c r="Z11" s="44" t="s">
        <v>41</v>
      </c>
      <c r="AA11" s="91"/>
      <c r="AB11" s="108"/>
      <c r="AC11" s="108"/>
      <c r="AD11" s="109"/>
    </row>
    <row r="12" spans="1:30" ht="15" customHeight="1" x14ac:dyDescent="0.25">
      <c r="A12" s="81"/>
      <c r="B12" s="118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6"/>
      <c r="Z12" s="44" t="s">
        <v>40</v>
      </c>
      <c r="AA12" s="91"/>
      <c r="AB12" s="108"/>
      <c r="AC12" s="108"/>
      <c r="AD12" s="109"/>
    </row>
    <row r="13" spans="1:30" ht="15" customHeight="1" x14ac:dyDescent="0.25">
      <c r="A13" s="81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6"/>
      <c r="T13" s="12"/>
      <c r="Z13" s="44" t="s">
        <v>1</v>
      </c>
      <c r="AA13" s="91"/>
      <c r="AB13" s="108"/>
      <c r="AC13" s="108"/>
      <c r="AD13" s="109"/>
    </row>
    <row r="14" spans="1:30" ht="15" customHeight="1" x14ac:dyDescent="0.25">
      <c r="A14" s="81"/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6"/>
      <c r="T14" s="11"/>
      <c r="Z14" s="96" t="s">
        <v>356</v>
      </c>
      <c r="AA14" s="94"/>
      <c r="AB14" s="110"/>
      <c r="AC14" s="110"/>
      <c r="AD14" s="111"/>
    </row>
    <row r="15" spans="1:30" ht="15" customHeight="1" x14ac:dyDescent="0.25">
      <c r="A15" s="81"/>
      <c r="B15" s="118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6"/>
      <c r="Z15" s="45" t="s">
        <v>353</v>
      </c>
      <c r="AA15" s="98"/>
      <c r="AB15" s="99"/>
      <c r="AC15" s="100"/>
      <c r="AD15" s="101"/>
    </row>
    <row r="16" spans="1:30" ht="15" customHeight="1" x14ac:dyDescent="0.25">
      <c r="A16" s="81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6"/>
      <c r="Z16" s="45" t="s">
        <v>185</v>
      </c>
      <c r="AA16" s="98"/>
      <c r="AB16" s="99"/>
      <c r="AC16" s="100"/>
      <c r="AD16" s="101"/>
    </row>
    <row r="17" spans="1:30" x14ac:dyDescent="0.25">
      <c r="A17" s="81"/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6"/>
      <c r="Z17" s="45" t="s">
        <v>210</v>
      </c>
      <c r="AA17" s="98"/>
      <c r="AB17" s="99"/>
      <c r="AC17" s="100"/>
      <c r="AD17" s="101"/>
    </row>
    <row r="18" spans="1:30" x14ac:dyDescent="0.25">
      <c r="A18" s="81"/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6"/>
      <c r="Z18" s="45" t="s">
        <v>354</v>
      </c>
      <c r="AA18" s="98"/>
      <c r="AB18" s="99"/>
      <c r="AC18" s="100"/>
      <c r="AD18" s="101"/>
    </row>
    <row r="19" spans="1:30" x14ac:dyDescent="0.25">
      <c r="A19" s="81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6"/>
      <c r="Z19" s="45" t="s">
        <v>46</v>
      </c>
      <c r="AA19" s="98"/>
      <c r="AB19" s="99"/>
      <c r="AC19" s="100"/>
      <c r="AD19" s="101"/>
    </row>
    <row r="20" spans="1:30" x14ac:dyDescent="0.25">
      <c r="A20" s="81"/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6"/>
      <c r="Z20" s="45" t="s">
        <v>204</v>
      </c>
      <c r="AA20" s="98"/>
      <c r="AB20" s="99"/>
      <c r="AC20" s="100"/>
      <c r="AD20" s="101"/>
    </row>
    <row r="21" spans="1:30" x14ac:dyDescent="0.25">
      <c r="A21" s="81"/>
      <c r="B21" s="118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6"/>
      <c r="Z21" s="45" t="s">
        <v>143</v>
      </c>
      <c r="AA21" s="98"/>
      <c r="AB21" s="99"/>
      <c r="AC21" s="100"/>
      <c r="AD21" s="101"/>
    </row>
    <row r="22" spans="1:30" x14ac:dyDescent="0.25">
      <c r="A22" s="81"/>
      <c r="B22" s="118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6"/>
      <c r="Z22" s="45" t="s">
        <v>147</v>
      </c>
      <c r="AA22" s="98"/>
      <c r="AB22" s="99"/>
      <c r="AC22" s="100"/>
      <c r="AD22" s="101"/>
    </row>
    <row r="23" spans="1:30" x14ac:dyDescent="0.25">
      <c r="A23" s="81"/>
      <c r="B23" s="118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6"/>
      <c r="Z23" s="45" t="s">
        <v>57</v>
      </c>
      <c r="AA23" s="98"/>
      <c r="AB23" s="99"/>
      <c r="AC23" s="100"/>
      <c r="AD23" s="101"/>
    </row>
    <row r="24" spans="1:30" x14ac:dyDescent="0.25">
      <c r="A24" s="81"/>
      <c r="B24" s="11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6"/>
      <c r="Z24" s="46" t="s">
        <v>52</v>
      </c>
      <c r="AA24" s="98"/>
      <c r="AB24" s="99"/>
      <c r="AC24" s="100"/>
      <c r="AD24" s="101">
        <v>1</v>
      </c>
    </row>
    <row r="25" spans="1:30" x14ac:dyDescent="0.25">
      <c r="A25" s="81"/>
      <c r="B25" s="118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6"/>
      <c r="Z25" s="46"/>
      <c r="AA25" s="98"/>
      <c r="AB25" s="99"/>
      <c r="AC25" s="100"/>
      <c r="AD25" s="101"/>
    </row>
    <row r="26" spans="1:30" x14ac:dyDescent="0.25">
      <c r="A26" s="81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6"/>
      <c r="Z26" s="46"/>
      <c r="AA26" s="92"/>
      <c r="AB26" s="100"/>
      <c r="AC26" s="100"/>
      <c r="AD26" s="101"/>
    </row>
    <row r="27" spans="1:30" x14ac:dyDescent="0.25">
      <c r="A27" s="81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6"/>
      <c r="Z27" s="46"/>
      <c r="AA27" s="92"/>
      <c r="AB27" s="100"/>
      <c r="AC27" s="100"/>
      <c r="AD27" s="101"/>
    </row>
    <row r="28" spans="1:30" x14ac:dyDescent="0.25">
      <c r="A28" s="81"/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6"/>
      <c r="Z28" s="97"/>
      <c r="AA28" s="92" t="s">
        <v>8</v>
      </c>
      <c r="AB28" s="100" t="s">
        <v>7</v>
      </c>
      <c r="AC28" s="100" t="s">
        <v>41</v>
      </c>
      <c r="AD28" s="101" t="s">
        <v>479</v>
      </c>
    </row>
    <row r="29" spans="1:30" x14ac:dyDescent="0.25">
      <c r="A29" s="81"/>
      <c r="B29" s="118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6"/>
      <c r="Z29" s="46"/>
      <c r="AA29" s="92"/>
      <c r="AB29" s="100"/>
      <c r="AC29" s="100"/>
      <c r="AD29" s="101"/>
    </row>
    <row r="30" spans="1:30" x14ac:dyDescent="0.25">
      <c r="A30" s="81"/>
      <c r="B30" s="118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6"/>
      <c r="Z30" s="46"/>
      <c r="AA30" s="92"/>
      <c r="AB30" s="100"/>
      <c r="AC30" s="100"/>
      <c r="AD30" s="101"/>
    </row>
    <row r="31" spans="1:30" x14ac:dyDescent="0.25">
      <c r="A31" s="81"/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6"/>
      <c r="Z31" s="46"/>
      <c r="AA31" s="92"/>
      <c r="AB31" s="100"/>
      <c r="AC31" s="100"/>
      <c r="AD31" s="101"/>
    </row>
    <row r="32" spans="1:30" x14ac:dyDescent="0.25">
      <c r="A32" s="81"/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6"/>
      <c r="Z32" s="46"/>
      <c r="AA32" s="92"/>
      <c r="AB32" s="100"/>
      <c r="AC32" s="100"/>
      <c r="AD32" s="101"/>
    </row>
    <row r="33" spans="1:30" x14ac:dyDescent="0.25">
      <c r="A33" s="81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6"/>
      <c r="Z33" s="46"/>
      <c r="AA33" s="92"/>
      <c r="AB33" s="100"/>
      <c r="AC33" s="100"/>
      <c r="AD33" s="101"/>
    </row>
    <row r="34" spans="1:30" x14ac:dyDescent="0.25">
      <c r="A34" s="81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6"/>
      <c r="Z34" s="97"/>
      <c r="AA34" s="92"/>
      <c r="AB34" s="100"/>
      <c r="AC34" s="100"/>
      <c r="AD34" s="101"/>
    </row>
    <row r="35" spans="1:30" x14ac:dyDescent="0.25">
      <c r="A35" s="81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6"/>
      <c r="Z35" s="46"/>
      <c r="AA35" s="92"/>
      <c r="AB35" s="100"/>
      <c r="AC35" s="100"/>
      <c r="AD35" s="101"/>
    </row>
    <row r="36" spans="1:30" x14ac:dyDescent="0.25">
      <c r="A36" s="81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6"/>
      <c r="Z36" s="46"/>
      <c r="AA36" s="92"/>
      <c r="AB36" s="100"/>
      <c r="AC36" s="100"/>
      <c r="AD36" s="101"/>
    </row>
    <row r="37" spans="1:30" x14ac:dyDescent="0.25">
      <c r="A37" s="81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6"/>
      <c r="Z37" s="46"/>
      <c r="AA37" s="92"/>
      <c r="AB37" s="100"/>
      <c r="AC37" s="100"/>
      <c r="AD37" s="101"/>
    </row>
    <row r="38" spans="1:30" x14ac:dyDescent="0.25">
      <c r="A38" s="81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6"/>
      <c r="Z38" s="46"/>
      <c r="AA38" s="92"/>
      <c r="AB38" s="100"/>
      <c r="AC38" s="100"/>
      <c r="AD38" s="101"/>
    </row>
    <row r="39" spans="1:30" ht="15.75" thickBot="1" x14ac:dyDescent="0.3">
      <c r="A39" s="81"/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6"/>
      <c r="Z39" s="47"/>
      <c r="AA39" s="93"/>
      <c r="AB39" s="112"/>
      <c r="AC39" s="112"/>
      <c r="AD39" s="113"/>
    </row>
    <row r="40" spans="1:30" x14ac:dyDescent="0.25">
      <c r="A40" s="81"/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6"/>
    </row>
    <row r="41" spans="1:30" x14ac:dyDescent="0.25">
      <c r="A41" s="81"/>
      <c r="B41" s="118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6"/>
    </row>
    <row r="42" spans="1:30" x14ac:dyDescent="0.25">
      <c r="A42" s="5"/>
      <c r="B42" s="118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6"/>
    </row>
    <row r="43" spans="1:30" x14ac:dyDescent="0.25">
      <c r="A43" s="5"/>
      <c r="B43" s="118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6"/>
    </row>
    <row r="44" spans="1:30" x14ac:dyDescent="0.25">
      <c r="A44" s="5"/>
      <c r="B44" s="118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6"/>
    </row>
    <row r="45" spans="1:30" x14ac:dyDescent="0.25">
      <c r="A45" s="5"/>
      <c r="B45" s="118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8"/>
      <c r="Q45" s="118"/>
      <c r="R45" s="118"/>
      <c r="S45" s="6"/>
    </row>
    <row r="46" spans="1:30" x14ac:dyDescent="0.25">
      <c r="A46" s="15"/>
      <c r="B46" s="118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6"/>
    </row>
    <row r="47" spans="1:30" ht="15" customHeight="1" x14ac:dyDescent="0.25">
      <c r="A47" s="14"/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6"/>
    </row>
    <row r="48" spans="1:30" ht="15" customHeight="1" x14ac:dyDescent="0.25">
      <c r="A48" s="14"/>
      <c r="B48" s="118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6"/>
    </row>
    <row r="49" spans="1:19" ht="15" customHeight="1" x14ac:dyDescent="0.25">
      <c r="A49" s="14"/>
      <c r="B49" s="118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6"/>
    </row>
    <row r="50" spans="1:19" ht="15" customHeight="1" x14ac:dyDescent="0.25">
      <c r="A50" s="80"/>
      <c r="B50" s="54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6"/>
    </row>
    <row r="51" spans="1:19" ht="15" customHeight="1" x14ac:dyDescent="0.25">
      <c r="A51" s="80"/>
      <c r="B51" s="59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"/>
    </row>
    <row r="52" spans="1:19" ht="15" customHeight="1" x14ac:dyDescent="0.25">
      <c r="A52" s="80"/>
      <c r="B52" s="54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6"/>
    </row>
    <row r="53" spans="1:19" x14ac:dyDescent="0.25">
      <c r="A53" s="15"/>
      <c r="S53" s="6"/>
    </row>
    <row r="54" spans="1:19" ht="15" customHeight="1" x14ac:dyDescent="0.25">
      <c r="A54" s="127" t="s">
        <v>163</v>
      </c>
      <c r="B54" s="118"/>
      <c r="C54" s="118"/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6"/>
    </row>
    <row r="55" spans="1:19" x14ac:dyDescent="0.25">
      <c r="A55" s="127"/>
      <c r="B55" s="118"/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6"/>
    </row>
    <row r="56" spans="1:19" x14ac:dyDescent="0.25">
      <c r="A56" s="127"/>
      <c r="B56" s="118"/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6"/>
    </row>
    <row r="57" spans="1:19" x14ac:dyDescent="0.25">
      <c r="A57" s="127"/>
      <c r="B57" s="118"/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6"/>
    </row>
    <row r="58" spans="1:19" x14ac:dyDescent="0.25">
      <c r="A58" s="127"/>
      <c r="B58" s="118"/>
      <c r="C58" s="118"/>
      <c r="D58" s="118"/>
      <c r="E58" s="118"/>
      <c r="F58" s="118"/>
      <c r="G58" s="118"/>
      <c r="H58" s="118"/>
      <c r="I58" s="118"/>
      <c r="J58" s="118"/>
      <c r="K58" s="118"/>
      <c r="L58" s="118"/>
      <c r="M58" s="118"/>
      <c r="N58" s="118"/>
      <c r="O58" s="118"/>
      <c r="P58" s="118"/>
      <c r="Q58" s="118"/>
      <c r="R58" s="118"/>
      <c r="S58" s="6"/>
    </row>
    <row r="59" spans="1:19" x14ac:dyDescent="0.25">
      <c r="A59" s="127"/>
      <c r="B59" s="118"/>
      <c r="C59" s="118"/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6"/>
    </row>
    <row r="60" spans="1:19" x14ac:dyDescent="0.25">
      <c r="A60" s="127"/>
      <c r="B60" s="118"/>
      <c r="C60" s="118"/>
      <c r="D60" s="118"/>
      <c r="E60" s="118"/>
      <c r="F60" s="118"/>
      <c r="G60" s="118"/>
      <c r="H60" s="118"/>
      <c r="I60" s="118"/>
      <c r="J60" s="118"/>
      <c r="K60" s="118"/>
      <c r="L60" s="118"/>
      <c r="M60" s="118"/>
      <c r="N60" s="118"/>
      <c r="O60" s="118"/>
      <c r="P60" s="118"/>
      <c r="Q60" s="118"/>
      <c r="R60" s="118"/>
      <c r="S60" s="6"/>
    </row>
    <row r="61" spans="1:19" x14ac:dyDescent="0.25">
      <c r="A61" s="127"/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6"/>
    </row>
    <row r="62" spans="1:19" x14ac:dyDescent="0.25">
      <c r="A62" s="127"/>
      <c r="B62" s="118"/>
      <c r="C62" s="118"/>
      <c r="D62" s="118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6"/>
    </row>
    <row r="63" spans="1:19" x14ac:dyDescent="0.25">
      <c r="A63" s="127"/>
      <c r="B63" s="118"/>
      <c r="C63" s="118"/>
      <c r="D63" s="118"/>
      <c r="E63" s="118"/>
      <c r="F63" s="118"/>
      <c r="G63" s="118"/>
      <c r="H63" s="118"/>
      <c r="I63" s="118"/>
      <c r="J63" s="118"/>
      <c r="K63" s="118"/>
      <c r="L63" s="118"/>
      <c r="M63" s="118"/>
      <c r="N63" s="118"/>
      <c r="O63" s="118"/>
      <c r="P63" s="118"/>
      <c r="Q63" s="118"/>
      <c r="R63" s="118"/>
      <c r="S63" s="6"/>
    </row>
    <row r="64" spans="1:19" x14ac:dyDescent="0.25">
      <c r="A64" s="127"/>
      <c r="B64" s="118"/>
      <c r="C64" s="118"/>
      <c r="D64" s="118"/>
      <c r="E64" s="118"/>
      <c r="F64" s="118"/>
      <c r="G64" s="118"/>
      <c r="H64" s="118"/>
      <c r="I64" s="118"/>
      <c r="J64" s="118"/>
      <c r="K64" s="118"/>
      <c r="L64" s="118"/>
      <c r="M64" s="118"/>
      <c r="N64" s="118"/>
      <c r="O64" s="118"/>
      <c r="P64" s="118"/>
      <c r="Q64" s="118"/>
      <c r="R64" s="118"/>
      <c r="S64" s="6"/>
    </row>
    <row r="65" spans="1:19" x14ac:dyDescent="0.25">
      <c r="A65" s="127"/>
      <c r="B65" s="118"/>
      <c r="C65" s="118"/>
      <c r="D65" s="118"/>
      <c r="E65" s="118"/>
      <c r="F65" s="118"/>
      <c r="G65" s="118"/>
      <c r="H65" s="118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6"/>
    </row>
    <row r="66" spans="1:19" x14ac:dyDescent="0.25">
      <c r="A66" s="127"/>
      <c r="B66" s="118"/>
      <c r="C66" s="118"/>
      <c r="D66" s="118"/>
      <c r="E66" s="118"/>
      <c r="F66" s="118"/>
      <c r="G66" s="118"/>
      <c r="H66" s="118"/>
      <c r="I66" s="118"/>
      <c r="J66" s="118"/>
      <c r="K66" s="118"/>
      <c r="L66" s="118"/>
      <c r="M66" s="118"/>
      <c r="N66" s="118"/>
      <c r="O66" s="118"/>
      <c r="P66" s="118"/>
      <c r="Q66" s="118"/>
      <c r="R66" s="118"/>
      <c r="S66" s="6"/>
    </row>
    <row r="67" spans="1:19" x14ac:dyDescent="0.25">
      <c r="A67" s="127"/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6"/>
    </row>
    <row r="68" spans="1:19" x14ac:dyDescent="0.25">
      <c r="A68" s="127"/>
      <c r="B68" s="118"/>
      <c r="C68" s="118"/>
      <c r="D68" s="118"/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118"/>
      <c r="Q68" s="118"/>
      <c r="R68" s="118"/>
      <c r="S68" s="6"/>
    </row>
    <row r="69" spans="1:19" x14ac:dyDescent="0.25">
      <c r="A69" s="127"/>
      <c r="B69" s="118"/>
      <c r="C69" s="118"/>
      <c r="D69" s="118"/>
      <c r="E69" s="118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118"/>
      <c r="Q69" s="118"/>
      <c r="R69" s="118"/>
      <c r="S69" s="6"/>
    </row>
    <row r="70" spans="1:19" x14ac:dyDescent="0.25">
      <c r="A70" s="127"/>
      <c r="B70" s="118"/>
      <c r="C70" s="118"/>
      <c r="D70" s="118"/>
      <c r="E70" s="118"/>
      <c r="F70" s="118"/>
      <c r="G70" s="118"/>
      <c r="H70" s="118"/>
      <c r="I70" s="118"/>
      <c r="J70" s="118"/>
      <c r="K70" s="118"/>
      <c r="L70" s="118"/>
      <c r="M70" s="118"/>
      <c r="N70" s="118"/>
      <c r="O70" s="118"/>
      <c r="P70" s="118"/>
      <c r="Q70" s="118"/>
      <c r="R70" s="118"/>
      <c r="S70" s="6"/>
    </row>
    <row r="71" spans="1:19" x14ac:dyDescent="0.25">
      <c r="A71" s="127"/>
      <c r="B71" s="118"/>
      <c r="C71" s="118"/>
      <c r="D71" s="118"/>
      <c r="E71" s="118"/>
      <c r="F71" s="118"/>
      <c r="G71" s="118"/>
      <c r="H71" s="118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6"/>
    </row>
    <row r="72" spans="1:19" x14ac:dyDescent="0.25">
      <c r="A72" s="127"/>
      <c r="B72" s="118"/>
      <c r="C72" s="118"/>
      <c r="D72" s="118"/>
      <c r="E72" s="118"/>
      <c r="F72" s="118"/>
      <c r="G72" s="118"/>
      <c r="H72" s="118"/>
      <c r="I72" s="118"/>
      <c r="J72" s="118"/>
      <c r="K72" s="118"/>
      <c r="L72" s="118"/>
      <c r="M72" s="118"/>
      <c r="N72" s="118"/>
      <c r="O72" s="118"/>
      <c r="P72" s="118"/>
      <c r="Q72" s="118"/>
      <c r="R72" s="118"/>
      <c r="S72" s="6"/>
    </row>
    <row r="73" spans="1:19" x14ac:dyDescent="0.25">
      <c r="A73" s="127"/>
      <c r="B73" s="118"/>
      <c r="C73" s="118"/>
      <c r="D73" s="118"/>
      <c r="E73" s="118"/>
      <c r="F73" s="118"/>
      <c r="G73" s="118"/>
      <c r="H73" s="118"/>
      <c r="I73" s="118"/>
      <c r="J73" s="118"/>
      <c r="K73" s="118"/>
      <c r="L73" s="118"/>
      <c r="M73" s="118"/>
      <c r="N73" s="118"/>
      <c r="O73" s="118"/>
      <c r="P73" s="118"/>
      <c r="Q73" s="118"/>
      <c r="R73" s="118"/>
      <c r="S73" s="6"/>
    </row>
    <row r="74" spans="1:19" x14ac:dyDescent="0.25">
      <c r="A74" s="127"/>
      <c r="B74" s="118"/>
      <c r="C74" s="118"/>
      <c r="D74" s="118"/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6"/>
    </row>
    <row r="75" spans="1:19" x14ac:dyDescent="0.25">
      <c r="A75" s="127"/>
      <c r="B75" s="118"/>
      <c r="C75" s="118"/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6"/>
    </row>
    <row r="76" spans="1:19" x14ac:dyDescent="0.25">
      <c r="A76" s="127"/>
      <c r="B76" s="118"/>
      <c r="C76" s="118"/>
      <c r="D76" s="118"/>
      <c r="E76" s="118"/>
      <c r="F76" s="118"/>
      <c r="G76" s="118"/>
      <c r="H76" s="118"/>
      <c r="I76" s="118"/>
      <c r="J76" s="118"/>
      <c r="K76" s="118"/>
      <c r="L76" s="118"/>
      <c r="M76" s="118"/>
      <c r="N76" s="118"/>
      <c r="O76" s="118"/>
      <c r="P76" s="118"/>
      <c r="Q76" s="118"/>
      <c r="R76" s="118"/>
      <c r="S76" s="6"/>
    </row>
    <row r="77" spans="1:19" x14ac:dyDescent="0.25">
      <c r="A77" s="127"/>
      <c r="B77" s="118"/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6"/>
    </row>
    <row r="78" spans="1:19" x14ac:dyDescent="0.25">
      <c r="A78" s="127"/>
      <c r="B78" s="118"/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6"/>
    </row>
    <row r="79" spans="1:19" x14ac:dyDescent="0.25">
      <c r="A79" s="127"/>
      <c r="B79" s="118"/>
      <c r="C79" s="118"/>
      <c r="D79" s="118"/>
      <c r="E79" s="118"/>
      <c r="F79" s="118"/>
      <c r="G79" s="118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6"/>
    </row>
    <row r="80" spans="1:19" x14ac:dyDescent="0.25">
      <c r="A80" s="127"/>
      <c r="B80" s="118"/>
      <c r="C80" s="118"/>
      <c r="D80" s="118"/>
      <c r="E80" s="118"/>
      <c r="F80" s="118"/>
      <c r="G80" s="118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6"/>
    </row>
    <row r="81" spans="1:26" x14ac:dyDescent="0.25">
      <c r="A81" s="127"/>
      <c r="B81" s="118"/>
      <c r="C81" s="118"/>
      <c r="D81" s="118"/>
      <c r="E81" s="118"/>
      <c r="F81" s="118"/>
      <c r="G81" s="118"/>
      <c r="H81" s="118"/>
      <c r="I81" s="118"/>
      <c r="J81" s="118"/>
      <c r="K81" s="118"/>
      <c r="L81" s="118"/>
      <c r="M81" s="118"/>
      <c r="N81" s="118"/>
      <c r="O81" s="118"/>
      <c r="P81" s="118"/>
      <c r="Q81" s="118"/>
      <c r="R81" s="118"/>
      <c r="S81" s="6"/>
    </row>
    <row r="82" spans="1:26" x14ac:dyDescent="0.25">
      <c r="A82" s="127"/>
      <c r="B82" s="118"/>
      <c r="C82" s="118"/>
      <c r="D82" s="118"/>
      <c r="E82" s="118"/>
      <c r="F82" s="118"/>
      <c r="G82" s="118"/>
      <c r="H82" s="118"/>
      <c r="I82" s="118"/>
      <c r="J82" s="118"/>
      <c r="K82" s="118"/>
      <c r="L82" s="118"/>
      <c r="M82" s="118"/>
      <c r="N82" s="118"/>
      <c r="O82" s="118"/>
      <c r="P82" s="118"/>
      <c r="Q82" s="118"/>
      <c r="R82" s="118"/>
      <c r="S82" s="6"/>
    </row>
    <row r="83" spans="1:26" x14ac:dyDescent="0.25">
      <c r="A83" s="127"/>
      <c r="B83" s="118"/>
      <c r="C83" s="118"/>
      <c r="D83" s="118"/>
      <c r="E83" s="118"/>
      <c r="F83" s="118"/>
      <c r="G83" s="118"/>
      <c r="H83" s="118"/>
      <c r="I83" s="118"/>
      <c r="J83" s="118"/>
      <c r="K83" s="118"/>
      <c r="L83" s="118"/>
      <c r="M83" s="118"/>
      <c r="N83" s="118"/>
      <c r="O83" s="118"/>
      <c r="P83" s="118"/>
      <c r="Q83" s="118"/>
      <c r="R83" s="118"/>
      <c r="S83" s="6"/>
    </row>
    <row r="84" spans="1:26" x14ac:dyDescent="0.25">
      <c r="A84" s="127"/>
      <c r="B84" s="118"/>
      <c r="C84" s="118"/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118"/>
      <c r="Q84" s="118"/>
      <c r="R84" s="118"/>
      <c r="S84" s="6"/>
    </row>
    <row r="85" spans="1:26" x14ac:dyDescent="0.25">
      <c r="A85" s="127"/>
      <c r="B85" s="118"/>
      <c r="C85" s="118"/>
      <c r="D85" s="118"/>
      <c r="E85" s="118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118"/>
      <c r="Q85" s="118"/>
      <c r="R85" s="118"/>
      <c r="S85" s="6"/>
    </row>
    <row r="86" spans="1:26" x14ac:dyDescent="0.25">
      <c r="A86" s="127"/>
      <c r="B86" s="118"/>
      <c r="C86" s="118"/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8"/>
      <c r="Q86" s="118"/>
      <c r="R86" s="118"/>
      <c r="S86" s="6"/>
      <c r="Z86" s="30"/>
    </row>
    <row r="87" spans="1:26" x14ac:dyDescent="0.25">
      <c r="A87" s="127"/>
      <c r="B87" s="118"/>
      <c r="C87" s="118"/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118"/>
      <c r="Q87" s="118"/>
      <c r="R87" s="118"/>
      <c r="S87" s="6"/>
    </row>
    <row r="88" spans="1:26" x14ac:dyDescent="0.25">
      <c r="A88" s="127"/>
      <c r="B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6"/>
    </row>
    <row r="89" spans="1:26" x14ac:dyDescent="0.25">
      <c r="A89" s="127"/>
      <c r="B89" s="11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18"/>
      <c r="O89" s="118"/>
      <c r="P89" s="118"/>
      <c r="Q89" s="118"/>
      <c r="R89" s="118"/>
      <c r="S89" s="6"/>
    </row>
    <row r="90" spans="1:26" x14ac:dyDescent="0.25">
      <c r="A90" s="127"/>
      <c r="B90" s="118"/>
      <c r="C90" s="118"/>
      <c r="D90" s="118"/>
      <c r="E90" s="118"/>
      <c r="F90" s="118"/>
      <c r="G90" s="118"/>
      <c r="H90" s="118"/>
      <c r="I90" s="118"/>
      <c r="J90" s="118"/>
      <c r="K90" s="118"/>
      <c r="L90" s="118"/>
      <c r="M90" s="118"/>
      <c r="N90" s="118"/>
      <c r="O90" s="118"/>
      <c r="P90" s="118"/>
      <c r="Q90" s="118"/>
      <c r="R90" s="118"/>
      <c r="S90" s="76"/>
    </row>
    <row r="91" spans="1:26" x14ac:dyDescent="0.25">
      <c r="A91" s="127"/>
      <c r="B91" s="118"/>
      <c r="C91" s="118"/>
      <c r="D91" s="118"/>
      <c r="E91" s="118"/>
      <c r="F91" s="118"/>
      <c r="G91" s="118"/>
      <c r="H91" s="118"/>
      <c r="I91" s="118"/>
      <c r="J91" s="118"/>
      <c r="K91" s="118"/>
      <c r="L91" s="118"/>
      <c r="M91" s="118"/>
      <c r="N91" s="118"/>
      <c r="O91" s="118"/>
      <c r="P91" s="118"/>
      <c r="Q91" s="118"/>
      <c r="R91" s="118"/>
      <c r="S91" s="77"/>
    </row>
    <row r="92" spans="1:26" ht="15" customHeight="1" x14ac:dyDescent="0.25">
      <c r="A92" s="127"/>
      <c r="B92" s="118"/>
      <c r="C92" s="118"/>
      <c r="D92" s="118"/>
      <c r="E92" s="118"/>
      <c r="F92" s="118"/>
      <c r="G92" s="118"/>
      <c r="H92" s="118"/>
      <c r="I92" s="118"/>
      <c r="J92" s="118"/>
      <c r="K92" s="118"/>
      <c r="L92" s="118"/>
      <c r="M92" s="118"/>
      <c r="N92" s="118"/>
      <c r="O92" s="118"/>
      <c r="P92" s="118"/>
      <c r="Q92" s="118"/>
      <c r="R92" s="118"/>
      <c r="S92" s="77"/>
    </row>
    <row r="93" spans="1:26" ht="15" customHeight="1" x14ac:dyDescent="0.25">
      <c r="A93" s="14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77"/>
    </row>
    <row r="94" spans="1:26" ht="15" customHeight="1" x14ac:dyDescent="0.25">
      <c r="A94" s="14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77"/>
    </row>
    <row r="95" spans="1:26" ht="15" customHeight="1" x14ac:dyDescent="0.25">
      <c r="A95" s="80"/>
      <c r="B95" s="54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77"/>
    </row>
    <row r="96" spans="1:26" ht="15" customHeight="1" x14ac:dyDescent="0.25">
      <c r="A96" s="80"/>
      <c r="B96" s="54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77"/>
    </row>
    <row r="97" spans="1:19" ht="15" customHeight="1" x14ac:dyDescent="0.25">
      <c r="A97" s="80"/>
      <c r="B97" s="125"/>
      <c r="C97" s="125"/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77"/>
    </row>
    <row r="98" spans="1:19" ht="15" customHeight="1" x14ac:dyDescent="0.25">
      <c r="A98" s="82"/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77"/>
    </row>
    <row r="99" spans="1:19" ht="15" customHeight="1" x14ac:dyDescent="0.25">
      <c r="A99" s="128"/>
      <c r="B99" s="125"/>
      <c r="C99" s="125"/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6"/>
    </row>
    <row r="100" spans="1:19" ht="15" customHeight="1" x14ac:dyDescent="0.25">
      <c r="A100" s="128"/>
      <c r="B100" s="125"/>
      <c r="C100" s="125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6"/>
    </row>
    <row r="101" spans="1:19" ht="15" customHeight="1" x14ac:dyDescent="0.25">
      <c r="A101" s="128"/>
      <c r="B101" s="125"/>
      <c r="C101" s="125"/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6"/>
    </row>
    <row r="102" spans="1:19" ht="15" customHeight="1" x14ac:dyDescent="0.25">
      <c r="A102" s="128"/>
      <c r="B102" s="125"/>
      <c r="C102" s="125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6"/>
    </row>
    <row r="103" spans="1:19" ht="15" customHeight="1" x14ac:dyDescent="0.25">
      <c r="A103" s="128"/>
      <c r="B103" s="125"/>
      <c r="C103" s="125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6"/>
    </row>
    <row r="104" spans="1:19" ht="15" customHeight="1" x14ac:dyDescent="0.25">
      <c r="A104" s="128"/>
      <c r="B104" s="125"/>
      <c r="C104" s="125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6"/>
    </row>
    <row r="105" spans="1:19" ht="15" customHeight="1" x14ac:dyDescent="0.25">
      <c r="A105" s="128"/>
      <c r="B105" s="125"/>
      <c r="C105" s="125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6"/>
    </row>
    <row r="106" spans="1:19" ht="15" customHeight="1" x14ac:dyDescent="0.25">
      <c r="A106" s="128"/>
      <c r="B106" s="125"/>
      <c r="C106" s="125"/>
      <c r="D106" s="125"/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6"/>
    </row>
    <row r="107" spans="1:19" ht="15" customHeight="1" x14ac:dyDescent="0.25">
      <c r="A107" s="128"/>
      <c r="B107" s="125"/>
      <c r="C107" s="125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6"/>
    </row>
    <row r="108" spans="1:19" ht="15" customHeight="1" x14ac:dyDescent="0.25">
      <c r="A108" s="128"/>
      <c r="B108" s="125"/>
      <c r="C108" s="125"/>
      <c r="D108" s="125"/>
      <c r="E108" s="125"/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6"/>
    </row>
    <row r="109" spans="1:19" ht="15" customHeight="1" x14ac:dyDescent="0.25">
      <c r="A109" s="128"/>
      <c r="B109" s="125"/>
      <c r="C109" s="125"/>
      <c r="D109" s="125"/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6"/>
    </row>
    <row r="110" spans="1:19" ht="15" customHeight="1" x14ac:dyDescent="0.25">
      <c r="A110" s="128"/>
      <c r="B110" s="125"/>
      <c r="C110" s="125"/>
      <c r="D110" s="125"/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6"/>
    </row>
    <row r="111" spans="1:19" ht="15" customHeight="1" x14ac:dyDescent="0.25">
      <c r="A111" s="128"/>
      <c r="B111" s="125"/>
      <c r="C111" s="125"/>
      <c r="D111" s="125"/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6"/>
    </row>
    <row r="112" spans="1:19" ht="15" customHeight="1" x14ac:dyDescent="0.25">
      <c r="A112" s="128"/>
      <c r="B112" s="125"/>
      <c r="C112" s="125"/>
      <c r="D112" s="125"/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6"/>
    </row>
    <row r="113" spans="1:19" ht="15" customHeight="1" x14ac:dyDescent="0.25">
      <c r="A113" s="128"/>
      <c r="B113" s="125"/>
      <c r="C113" s="125"/>
      <c r="D113" s="125"/>
      <c r="E113" s="125"/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6"/>
    </row>
    <row r="114" spans="1:19" ht="15" customHeight="1" x14ac:dyDescent="0.25">
      <c r="A114" s="128"/>
      <c r="B114" s="125"/>
      <c r="C114" s="125"/>
      <c r="D114" s="125"/>
      <c r="E114" s="125"/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6"/>
    </row>
    <row r="115" spans="1:19" ht="15" customHeight="1" x14ac:dyDescent="0.25">
      <c r="A115" s="128"/>
      <c r="B115" s="125"/>
      <c r="C115" s="125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6"/>
    </row>
    <row r="116" spans="1:19" ht="15" customHeight="1" x14ac:dyDescent="0.25">
      <c r="A116" s="128"/>
      <c r="B116" s="125"/>
      <c r="C116" s="125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6"/>
    </row>
    <row r="117" spans="1:19" ht="15" customHeight="1" x14ac:dyDescent="0.25">
      <c r="A117" s="128"/>
      <c r="B117" s="125"/>
      <c r="C117" s="125"/>
      <c r="D117" s="125"/>
      <c r="E117" s="125"/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6"/>
    </row>
    <row r="118" spans="1:19" ht="15" customHeight="1" x14ac:dyDescent="0.25">
      <c r="A118" s="128"/>
      <c r="B118" s="125"/>
      <c r="C118" s="125"/>
      <c r="D118" s="125"/>
      <c r="E118" s="125"/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6"/>
    </row>
    <row r="119" spans="1:19" ht="15" customHeight="1" x14ac:dyDescent="0.25">
      <c r="A119" s="128"/>
      <c r="B119" s="125"/>
      <c r="C119" s="125"/>
      <c r="D119" s="125"/>
      <c r="E119" s="125"/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6"/>
    </row>
    <row r="120" spans="1:19" ht="15" customHeight="1" x14ac:dyDescent="0.25">
      <c r="A120" s="128"/>
      <c r="B120" s="125"/>
      <c r="C120" s="125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6"/>
    </row>
    <row r="121" spans="1:19" ht="15" customHeight="1" x14ac:dyDescent="0.25">
      <c r="A121" s="128"/>
      <c r="B121" s="125"/>
      <c r="C121" s="125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6"/>
    </row>
    <row r="122" spans="1:19" ht="15" customHeight="1" x14ac:dyDescent="0.25">
      <c r="A122" s="128"/>
      <c r="B122" s="125"/>
      <c r="C122" s="125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6"/>
    </row>
    <row r="123" spans="1:19" ht="15" customHeight="1" x14ac:dyDescent="0.25">
      <c r="A123" s="128"/>
      <c r="B123" s="125"/>
      <c r="C123" s="125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6"/>
    </row>
    <row r="124" spans="1:19" ht="15" customHeight="1" x14ac:dyDescent="0.25">
      <c r="A124" s="128"/>
      <c r="B124" s="125"/>
      <c r="C124" s="125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6"/>
    </row>
    <row r="125" spans="1:19" ht="15" customHeight="1" x14ac:dyDescent="0.25">
      <c r="A125" s="128"/>
      <c r="B125" s="125"/>
      <c r="C125" s="125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6"/>
    </row>
    <row r="126" spans="1:19" ht="15" customHeight="1" x14ac:dyDescent="0.25">
      <c r="A126" s="128"/>
      <c r="B126" s="125"/>
      <c r="C126" s="125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6"/>
    </row>
    <row r="127" spans="1:19" ht="15" customHeight="1" x14ac:dyDescent="0.25">
      <c r="A127" s="128"/>
      <c r="B127" s="125"/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6"/>
    </row>
    <row r="128" spans="1:19" ht="15" customHeight="1" x14ac:dyDescent="0.25">
      <c r="A128" s="128"/>
      <c r="B128" s="125"/>
      <c r="C128" s="125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6"/>
    </row>
    <row r="129" spans="1:27" ht="15" customHeight="1" x14ac:dyDescent="0.25">
      <c r="A129" s="128"/>
      <c r="B129" s="125"/>
      <c r="C129" s="125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6"/>
    </row>
    <row r="130" spans="1:27" ht="15" customHeight="1" x14ac:dyDescent="0.25">
      <c r="A130" s="128"/>
      <c r="B130" s="125"/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6"/>
    </row>
    <row r="131" spans="1:27" ht="15" customHeight="1" x14ac:dyDescent="0.25">
      <c r="A131" s="128"/>
      <c r="B131" s="125"/>
      <c r="C131" s="125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6"/>
    </row>
    <row r="132" spans="1:27" ht="15" customHeight="1" x14ac:dyDescent="0.25">
      <c r="A132" s="5"/>
      <c r="B132" s="125"/>
      <c r="C132" s="125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6"/>
    </row>
    <row r="133" spans="1:27" ht="15" customHeight="1" x14ac:dyDescent="0.25">
      <c r="A133" s="5"/>
      <c r="B133" s="125"/>
      <c r="C133" s="125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6"/>
    </row>
    <row r="134" spans="1:27" ht="15" customHeight="1" x14ac:dyDescent="0.25">
      <c r="A134" s="5"/>
      <c r="B134" s="125"/>
      <c r="C134" s="125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6"/>
    </row>
    <row r="135" spans="1:27" ht="15" customHeight="1" x14ac:dyDescent="0.25">
      <c r="A135" s="5"/>
      <c r="B135" s="125"/>
      <c r="C135" s="125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6"/>
    </row>
    <row r="136" spans="1:27" x14ac:dyDescent="0.25">
      <c r="A136" s="15"/>
      <c r="S136" s="6"/>
    </row>
    <row r="137" spans="1:27" ht="15" customHeight="1" x14ac:dyDescent="0.25">
      <c r="A137" s="14"/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6"/>
    </row>
    <row r="138" spans="1:27" ht="15" customHeight="1" x14ac:dyDescent="0.25">
      <c r="A138" s="14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6"/>
    </row>
    <row r="139" spans="1:27" ht="15" customHeight="1" x14ac:dyDescent="0.25">
      <c r="A139" s="14"/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6"/>
    </row>
    <row r="140" spans="1:27" ht="15" customHeight="1" x14ac:dyDescent="0.25">
      <c r="A140" s="80"/>
      <c r="B140" s="54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76"/>
    </row>
    <row r="141" spans="1:27" ht="15" customHeight="1" x14ac:dyDescent="0.25">
      <c r="A141" s="80"/>
      <c r="B141" s="54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76"/>
    </row>
    <row r="142" spans="1:27" ht="15" customHeight="1" x14ac:dyDescent="0.25">
      <c r="A142" s="83"/>
      <c r="B142" s="59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78"/>
    </row>
    <row r="143" spans="1:27" x14ac:dyDescent="0.25">
      <c r="G143" s="30"/>
      <c r="AA143" s="2"/>
    </row>
    <row r="144" spans="1:27" ht="15" customHeight="1" x14ac:dyDescent="0.25">
      <c r="G144" s="30"/>
      <c r="AA144" s="2"/>
    </row>
    <row r="145" spans="7:27" x14ac:dyDescent="0.25">
      <c r="G145" s="30"/>
      <c r="AA145" s="2"/>
    </row>
    <row r="146" spans="7:27" x14ac:dyDescent="0.25">
      <c r="G146" s="30"/>
      <c r="AA146" s="2"/>
    </row>
    <row r="147" spans="7:27" x14ac:dyDescent="0.25">
      <c r="G147" s="30"/>
      <c r="AA147" s="2"/>
    </row>
    <row r="148" spans="7:27" x14ac:dyDescent="0.25">
      <c r="G148" s="30"/>
      <c r="AA148" s="2"/>
    </row>
    <row r="149" spans="7:27" x14ac:dyDescent="0.25">
      <c r="G149" s="30"/>
      <c r="AA149" s="2"/>
    </row>
    <row r="150" spans="7:27" x14ac:dyDescent="0.25">
      <c r="G150" s="30"/>
      <c r="AA150" s="2"/>
    </row>
    <row r="151" spans="7:27" x14ac:dyDescent="0.25">
      <c r="G151" s="30"/>
      <c r="AA151" s="2"/>
    </row>
    <row r="152" spans="7:27" x14ac:dyDescent="0.25">
      <c r="G152" s="30"/>
      <c r="AA152" s="2"/>
    </row>
    <row r="153" spans="7:27" x14ac:dyDescent="0.25">
      <c r="G153" s="30"/>
      <c r="AA153" s="2"/>
    </row>
    <row r="154" spans="7:27" x14ac:dyDescent="0.25">
      <c r="G154" s="30"/>
      <c r="AA154" s="2"/>
    </row>
    <row r="155" spans="7:27" x14ac:dyDescent="0.25">
      <c r="G155" s="30"/>
      <c r="AA155" s="2"/>
    </row>
    <row r="156" spans="7:27" x14ac:dyDescent="0.25">
      <c r="G156" s="30"/>
      <c r="AA156" s="2"/>
    </row>
    <row r="157" spans="7:27" x14ac:dyDescent="0.25">
      <c r="G157" s="30"/>
      <c r="AA157" s="2"/>
    </row>
    <row r="158" spans="7:27" x14ac:dyDescent="0.25">
      <c r="G158" s="30"/>
      <c r="AA158" s="2"/>
    </row>
    <row r="159" spans="7:27" x14ac:dyDescent="0.25">
      <c r="G159" s="30"/>
      <c r="AA159" s="2"/>
    </row>
    <row r="160" spans="7:27" x14ac:dyDescent="0.25">
      <c r="G160" s="30"/>
      <c r="AA160" s="2"/>
    </row>
    <row r="161" spans="7:27" x14ac:dyDescent="0.25">
      <c r="G161" s="30"/>
      <c r="AA161" s="2"/>
    </row>
    <row r="162" spans="7:27" x14ac:dyDescent="0.25">
      <c r="G162" s="30"/>
      <c r="AA162" s="2"/>
    </row>
    <row r="163" spans="7:27" x14ac:dyDescent="0.25">
      <c r="G163" s="30"/>
      <c r="AA163" s="2"/>
    </row>
    <row r="164" spans="7:27" x14ac:dyDescent="0.25">
      <c r="G164" s="30"/>
      <c r="AA164" s="2"/>
    </row>
    <row r="165" spans="7:27" x14ac:dyDescent="0.25">
      <c r="G165" s="30"/>
      <c r="AA165" s="2"/>
    </row>
    <row r="166" spans="7:27" x14ac:dyDescent="0.25">
      <c r="G166" s="30"/>
      <c r="AA166" s="2"/>
    </row>
    <row r="167" spans="7:27" x14ac:dyDescent="0.25">
      <c r="G167" s="30"/>
      <c r="AA167" s="2"/>
    </row>
    <row r="168" spans="7:27" x14ac:dyDescent="0.25">
      <c r="G168" s="30"/>
      <c r="AA168" s="2"/>
    </row>
    <row r="169" spans="7:27" x14ac:dyDescent="0.25">
      <c r="G169" s="30"/>
      <c r="AA169" s="2"/>
    </row>
    <row r="170" spans="7:27" x14ac:dyDescent="0.25">
      <c r="G170" s="30"/>
      <c r="AA170" s="2"/>
    </row>
    <row r="171" spans="7:27" x14ac:dyDescent="0.25">
      <c r="G171" s="30"/>
      <c r="AA171" s="2"/>
    </row>
    <row r="172" spans="7:27" x14ac:dyDescent="0.25">
      <c r="G172" s="30"/>
      <c r="AA172" s="2"/>
    </row>
    <row r="173" spans="7:27" x14ac:dyDescent="0.25">
      <c r="G173" s="30"/>
      <c r="AA173" s="2"/>
    </row>
    <row r="174" spans="7:27" x14ac:dyDescent="0.25">
      <c r="G174" s="30"/>
      <c r="AA174" s="2"/>
    </row>
    <row r="175" spans="7:27" x14ac:dyDescent="0.25">
      <c r="G175" s="30"/>
      <c r="AA175" s="2"/>
    </row>
    <row r="176" spans="7:27" x14ac:dyDescent="0.25">
      <c r="G176" s="30"/>
      <c r="AA176" s="2"/>
    </row>
    <row r="177" spans="7:27" x14ac:dyDescent="0.25">
      <c r="G177" s="30"/>
      <c r="AA177" s="2"/>
    </row>
    <row r="178" spans="7:27" x14ac:dyDescent="0.25">
      <c r="G178" s="30"/>
      <c r="AA178" s="2"/>
    </row>
    <row r="179" spans="7:27" x14ac:dyDescent="0.25">
      <c r="G179" s="30"/>
      <c r="AA179" s="2"/>
    </row>
    <row r="180" spans="7:27" x14ac:dyDescent="0.25">
      <c r="G180" s="30"/>
      <c r="AA180" s="2"/>
    </row>
    <row r="181" spans="7:27" x14ac:dyDescent="0.25">
      <c r="G181" s="30"/>
      <c r="AA181" s="2"/>
    </row>
    <row r="182" spans="7:27" ht="15" customHeight="1" x14ac:dyDescent="0.25">
      <c r="G182" s="30"/>
      <c r="AA182" s="2"/>
    </row>
    <row r="183" spans="7:27" ht="15" customHeight="1" x14ac:dyDescent="0.25">
      <c r="G183" s="30"/>
      <c r="AA183" s="2"/>
    </row>
    <row r="184" spans="7:27" ht="15" customHeight="1" x14ac:dyDescent="0.25">
      <c r="G184" s="30"/>
      <c r="AA184" s="2"/>
    </row>
    <row r="185" spans="7:27" ht="15" customHeight="1" x14ac:dyDescent="0.25">
      <c r="G185" s="30"/>
      <c r="AA185" s="2"/>
    </row>
    <row r="186" spans="7:27" ht="15" customHeight="1" x14ac:dyDescent="0.25">
      <c r="G186" s="30"/>
      <c r="AA186" s="2"/>
    </row>
    <row r="187" spans="7:27" ht="15" customHeight="1" x14ac:dyDescent="0.25">
      <c r="G187" s="30"/>
      <c r="AA187" s="2"/>
    </row>
    <row r="188" spans="7:27" x14ac:dyDescent="0.25">
      <c r="G188" s="30"/>
      <c r="AA188" s="2"/>
    </row>
    <row r="189" spans="7:27" ht="15" customHeight="1" x14ac:dyDescent="0.25">
      <c r="G189" s="30"/>
      <c r="AA189" s="2"/>
    </row>
    <row r="190" spans="7:27" x14ac:dyDescent="0.25">
      <c r="G190" s="30"/>
      <c r="AA190" s="2"/>
    </row>
    <row r="191" spans="7:27" x14ac:dyDescent="0.25">
      <c r="G191" s="30"/>
      <c r="AA191" s="2"/>
    </row>
    <row r="192" spans="7:27" x14ac:dyDescent="0.25">
      <c r="G192" s="30"/>
      <c r="AA192" s="2"/>
    </row>
    <row r="193" spans="7:27" x14ac:dyDescent="0.25">
      <c r="G193" s="30"/>
      <c r="AA193" s="2"/>
    </row>
    <row r="194" spans="7:27" x14ac:dyDescent="0.25">
      <c r="G194" s="30"/>
      <c r="AA194" s="2"/>
    </row>
    <row r="195" spans="7:27" x14ac:dyDescent="0.25">
      <c r="G195" s="30"/>
      <c r="AA195" s="2"/>
    </row>
    <row r="196" spans="7:27" x14ac:dyDescent="0.25">
      <c r="G196" s="30"/>
      <c r="AA196" s="2"/>
    </row>
    <row r="197" spans="7:27" x14ac:dyDescent="0.25">
      <c r="G197" s="30"/>
      <c r="AA197" s="2"/>
    </row>
    <row r="198" spans="7:27" x14ac:dyDescent="0.25">
      <c r="G198" s="30"/>
      <c r="AA198" s="2"/>
    </row>
    <row r="199" spans="7:27" x14ac:dyDescent="0.25">
      <c r="G199" s="30"/>
      <c r="AA199" s="2"/>
    </row>
    <row r="200" spans="7:27" x14ac:dyDescent="0.25">
      <c r="G200" s="30"/>
      <c r="AA200" s="2"/>
    </row>
    <row r="201" spans="7:27" x14ac:dyDescent="0.25">
      <c r="G201" s="30"/>
      <c r="AA201" s="2"/>
    </row>
    <row r="202" spans="7:27" x14ac:dyDescent="0.25">
      <c r="G202" s="30"/>
      <c r="AA202" s="2"/>
    </row>
    <row r="203" spans="7:27" x14ac:dyDescent="0.25">
      <c r="G203" s="30"/>
      <c r="AA203" s="2"/>
    </row>
    <row r="204" spans="7:27" x14ac:dyDescent="0.25">
      <c r="G204" s="30"/>
      <c r="AA204" s="2"/>
    </row>
    <row r="205" spans="7:27" x14ac:dyDescent="0.25">
      <c r="G205" s="30"/>
      <c r="AA205" s="2"/>
    </row>
    <row r="206" spans="7:27" x14ac:dyDescent="0.25">
      <c r="G206" s="30"/>
      <c r="AA206" s="2"/>
    </row>
    <row r="207" spans="7:27" x14ac:dyDescent="0.25">
      <c r="G207" s="30"/>
      <c r="AA207" s="2"/>
    </row>
    <row r="208" spans="7:27" x14ac:dyDescent="0.25">
      <c r="G208" s="30"/>
      <c r="AA208" s="2"/>
    </row>
    <row r="209" spans="7:27" x14ac:dyDescent="0.25">
      <c r="G209" s="30"/>
      <c r="AA209" s="2"/>
    </row>
    <row r="210" spans="7:27" x14ac:dyDescent="0.25">
      <c r="G210" s="30"/>
      <c r="AA210" s="2"/>
    </row>
    <row r="211" spans="7:27" x14ac:dyDescent="0.25">
      <c r="G211" s="30"/>
      <c r="AA211" s="2"/>
    </row>
    <row r="212" spans="7:27" x14ac:dyDescent="0.25">
      <c r="G212" s="30"/>
      <c r="AA212" s="2"/>
    </row>
    <row r="213" spans="7:27" x14ac:dyDescent="0.25">
      <c r="G213" s="30"/>
      <c r="AA213" s="2"/>
    </row>
    <row r="214" spans="7:27" x14ac:dyDescent="0.25">
      <c r="G214" s="30"/>
      <c r="AA214" s="2"/>
    </row>
    <row r="215" spans="7:27" x14ac:dyDescent="0.25">
      <c r="G215" s="30"/>
      <c r="AA215" s="2"/>
    </row>
    <row r="216" spans="7:27" x14ac:dyDescent="0.25">
      <c r="G216" s="30"/>
      <c r="AA216" s="2"/>
    </row>
    <row r="217" spans="7:27" x14ac:dyDescent="0.25">
      <c r="G217" s="30"/>
      <c r="AA217" s="2"/>
    </row>
    <row r="218" spans="7:27" x14ac:dyDescent="0.25">
      <c r="G218" s="30"/>
      <c r="AA218" s="2"/>
    </row>
    <row r="219" spans="7:27" x14ac:dyDescent="0.25">
      <c r="G219" s="30"/>
      <c r="AA219" s="2"/>
    </row>
    <row r="220" spans="7:27" x14ac:dyDescent="0.25">
      <c r="G220" s="30"/>
      <c r="AA220" s="2"/>
    </row>
    <row r="221" spans="7:27" x14ac:dyDescent="0.25">
      <c r="G221" s="30"/>
      <c r="AA221" s="2"/>
    </row>
    <row r="222" spans="7:27" x14ac:dyDescent="0.25">
      <c r="G222" s="30"/>
      <c r="AA222" s="2"/>
    </row>
    <row r="223" spans="7:27" x14ac:dyDescent="0.25">
      <c r="G223" s="30"/>
      <c r="AA223" s="2"/>
    </row>
    <row r="224" spans="7:27" x14ac:dyDescent="0.25">
      <c r="G224" s="30"/>
      <c r="AA224" s="2"/>
    </row>
    <row r="225" spans="7:27" x14ac:dyDescent="0.25">
      <c r="G225" s="30"/>
      <c r="AA225" s="2"/>
    </row>
    <row r="226" spans="7:27" x14ac:dyDescent="0.25">
      <c r="G226" s="30"/>
      <c r="AA226" s="2"/>
    </row>
    <row r="227" spans="7:27" ht="15" customHeight="1" x14ac:dyDescent="0.25">
      <c r="G227" s="30"/>
      <c r="AA227" s="2"/>
    </row>
    <row r="228" spans="7:27" ht="15" customHeight="1" x14ac:dyDescent="0.25">
      <c r="G228" s="30"/>
      <c r="AA228" s="2"/>
    </row>
    <row r="229" spans="7:27" ht="15" customHeight="1" x14ac:dyDescent="0.25">
      <c r="G229" s="30"/>
      <c r="AA229" s="2"/>
    </row>
    <row r="230" spans="7:27" ht="15" customHeight="1" x14ac:dyDescent="0.25">
      <c r="G230" s="30"/>
      <c r="AA230" s="2"/>
    </row>
    <row r="231" spans="7:27" ht="15" customHeight="1" x14ac:dyDescent="0.25">
      <c r="G231" s="30"/>
      <c r="AA231" s="2"/>
    </row>
    <row r="232" spans="7:27" ht="15" customHeight="1" x14ac:dyDescent="0.25">
      <c r="G232" s="30"/>
      <c r="AA232" s="2"/>
    </row>
    <row r="233" spans="7:27" x14ac:dyDescent="0.25">
      <c r="G233" s="30"/>
      <c r="AA233" s="2"/>
    </row>
    <row r="234" spans="7:27" ht="15" customHeight="1" x14ac:dyDescent="0.25">
      <c r="G234" s="30"/>
      <c r="AA234" s="2"/>
    </row>
    <row r="235" spans="7:27" x14ac:dyDescent="0.25">
      <c r="G235" s="30"/>
      <c r="AA235" s="2"/>
    </row>
    <row r="236" spans="7:27" x14ac:dyDescent="0.25">
      <c r="G236" s="30"/>
      <c r="AA236" s="2"/>
    </row>
    <row r="237" spans="7:27" x14ac:dyDescent="0.25">
      <c r="G237" s="30"/>
      <c r="AA237" s="2"/>
    </row>
    <row r="238" spans="7:27" x14ac:dyDescent="0.25">
      <c r="G238" s="30"/>
      <c r="AA238" s="2"/>
    </row>
    <row r="239" spans="7:27" x14ac:dyDescent="0.25">
      <c r="G239" s="30"/>
      <c r="AA239" s="2"/>
    </row>
    <row r="240" spans="7:27" x14ac:dyDescent="0.25">
      <c r="G240" s="30"/>
      <c r="AA240" s="2"/>
    </row>
    <row r="241" spans="7:27" x14ac:dyDescent="0.25">
      <c r="G241" s="30"/>
      <c r="AA241" s="2"/>
    </row>
    <row r="242" spans="7:27" x14ac:dyDescent="0.25">
      <c r="G242" s="30"/>
      <c r="AA242" s="2"/>
    </row>
    <row r="243" spans="7:27" x14ac:dyDescent="0.25">
      <c r="G243" s="30"/>
      <c r="AA243" s="2"/>
    </row>
    <row r="244" spans="7:27" x14ac:dyDescent="0.25">
      <c r="G244" s="30"/>
      <c r="AA244" s="2"/>
    </row>
    <row r="245" spans="7:27" x14ac:dyDescent="0.25">
      <c r="G245" s="30"/>
      <c r="AA245" s="2"/>
    </row>
    <row r="246" spans="7:27" x14ac:dyDescent="0.25">
      <c r="G246" s="30"/>
      <c r="AA246" s="2"/>
    </row>
    <row r="247" spans="7:27" x14ac:dyDescent="0.25">
      <c r="G247" s="30"/>
      <c r="AA247" s="2"/>
    </row>
    <row r="248" spans="7:27" x14ac:dyDescent="0.25">
      <c r="G248" s="30"/>
      <c r="AA248" s="2"/>
    </row>
    <row r="249" spans="7:27" x14ac:dyDescent="0.25">
      <c r="G249" s="30"/>
      <c r="AA249" s="2"/>
    </row>
    <row r="250" spans="7:27" x14ac:dyDescent="0.25">
      <c r="G250" s="30"/>
      <c r="AA250" s="2"/>
    </row>
    <row r="251" spans="7:27" x14ac:dyDescent="0.25">
      <c r="G251" s="30"/>
      <c r="AA251" s="2"/>
    </row>
    <row r="252" spans="7:27" x14ac:dyDescent="0.25">
      <c r="G252" s="30"/>
      <c r="AA252" s="2"/>
    </row>
    <row r="253" spans="7:27" x14ac:dyDescent="0.25">
      <c r="G253" s="30"/>
      <c r="AA253" s="2"/>
    </row>
    <row r="254" spans="7:27" x14ac:dyDescent="0.25">
      <c r="G254" s="30"/>
      <c r="AA254" s="2"/>
    </row>
    <row r="255" spans="7:27" x14ac:dyDescent="0.25">
      <c r="G255" s="30"/>
      <c r="AA255" s="2"/>
    </row>
    <row r="256" spans="7:27" x14ac:dyDescent="0.25">
      <c r="G256" s="30"/>
      <c r="AA256" s="2"/>
    </row>
    <row r="257" spans="7:27" x14ac:dyDescent="0.25">
      <c r="G257" s="30"/>
      <c r="AA257" s="2"/>
    </row>
    <row r="258" spans="7:27" x14ac:dyDescent="0.25">
      <c r="G258" s="30"/>
      <c r="AA258" s="2"/>
    </row>
    <row r="259" spans="7:27" x14ac:dyDescent="0.25">
      <c r="G259" s="30"/>
      <c r="AA259" s="2"/>
    </row>
    <row r="260" spans="7:27" x14ac:dyDescent="0.25">
      <c r="G260" s="30"/>
      <c r="AA260" s="2"/>
    </row>
    <row r="261" spans="7:27" x14ac:dyDescent="0.25">
      <c r="G261" s="30"/>
      <c r="AA261" s="2"/>
    </row>
    <row r="262" spans="7:27" x14ac:dyDescent="0.25">
      <c r="G262" s="30"/>
      <c r="AA262" s="2"/>
    </row>
    <row r="263" spans="7:27" x14ac:dyDescent="0.25">
      <c r="G263" s="30"/>
      <c r="AA263" s="2"/>
    </row>
    <row r="264" spans="7:27" x14ac:dyDescent="0.25">
      <c r="G264" s="30"/>
      <c r="AA264" s="2"/>
    </row>
    <row r="265" spans="7:27" x14ac:dyDescent="0.25">
      <c r="G265" s="30"/>
      <c r="AA265" s="2"/>
    </row>
    <row r="266" spans="7:27" x14ac:dyDescent="0.25">
      <c r="G266" s="30"/>
      <c r="AA266" s="2"/>
    </row>
    <row r="267" spans="7:27" x14ac:dyDescent="0.25">
      <c r="G267" s="30"/>
      <c r="AA267" s="2"/>
    </row>
    <row r="268" spans="7:27" x14ac:dyDescent="0.25">
      <c r="G268" s="30"/>
      <c r="AA268" s="2"/>
    </row>
    <row r="269" spans="7:27" x14ac:dyDescent="0.25">
      <c r="G269" s="30"/>
      <c r="AA269" s="2"/>
    </row>
    <row r="270" spans="7:27" x14ac:dyDescent="0.25">
      <c r="G270" s="30"/>
      <c r="AA270" s="2"/>
    </row>
    <row r="271" spans="7:27" x14ac:dyDescent="0.25">
      <c r="G271" s="30"/>
      <c r="AA271" s="2"/>
    </row>
    <row r="272" spans="7:27" x14ac:dyDescent="0.25">
      <c r="G272" s="30"/>
      <c r="AA272" s="2"/>
    </row>
    <row r="273" spans="7:27" x14ac:dyDescent="0.25">
      <c r="G273" s="30"/>
      <c r="AA273" s="2"/>
    </row>
  </sheetData>
  <mergeCells count="12">
    <mergeCell ref="B11:R49"/>
    <mergeCell ref="A54:A92"/>
    <mergeCell ref="B54:R92"/>
    <mergeCell ref="B97:R135"/>
    <mergeCell ref="A99:A131"/>
    <mergeCell ref="E1:O3"/>
    <mergeCell ref="E4:E5"/>
    <mergeCell ref="F4:O5"/>
    <mergeCell ref="E6:E7"/>
    <mergeCell ref="F6:O7"/>
    <mergeCell ref="E8:E9"/>
    <mergeCell ref="F8:O9"/>
  </mergeCells>
  <pageMargins left="0.19685039370078741" right="0.19685039370078741" top="0.19685039370078741" bottom="0.19685039370078741" header="0" footer="0.35433070866141736"/>
  <pageSetup paperSize="9" scale="39" fitToHeight="3" orientation="portrait" horizontalDpi="1200" verticalDpi="1200" r:id="rId1"/>
  <headerFooter alignWithMargins="0">
    <oddFooter xml:space="preserve">&amp;C&amp;18Tooshop | M. Santos | &amp;D&amp;R&amp;18Página &amp;P de &amp;N         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273"/>
  <sheetViews>
    <sheetView view="pageBreakPreview" zoomScale="37" zoomScaleNormal="70" zoomScaleSheetLayoutView="37" workbookViewId="0">
      <selection activeCell="T57" sqref="T57"/>
    </sheetView>
  </sheetViews>
  <sheetFormatPr defaultRowHeight="15" x14ac:dyDescent="0.25"/>
  <cols>
    <col min="1" max="1" width="4.7109375" style="2" customWidth="1"/>
    <col min="2" max="2" width="9.140625" style="2"/>
    <col min="3" max="4" width="15.7109375" style="2" customWidth="1"/>
    <col min="5" max="5" width="30.7109375" style="2" customWidth="1"/>
    <col min="6" max="6" width="18.7109375" style="2" customWidth="1"/>
    <col min="7" max="13" width="9.140625" style="2"/>
    <col min="14" max="14" width="25.7109375" style="2" customWidth="1"/>
    <col min="15" max="15" width="30.7109375" style="2" customWidth="1"/>
    <col min="16" max="17" width="15.7109375" style="2" customWidth="1"/>
    <col min="18" max="18" width="9.140625" style="2" customWidth="1"/>
    <col min="19" max="19" width="4.5703125" style="2" customWidth="1"/>
    <col min="20" max="20" width="50.140625" style="2" customWidth="1"/>
    <col min="21" max="21" width="6.85546875" style="2" customWidth="1"/>
    <col min="22" max="22" width="6.5703125" style="2" customWidth="1"/>
    <col min="23" max="23" width="6.7109375" style="2" customWidth="1"/>
    <col min="24" max="24" width="7.28515625" style="2" customWidth="1"/>
    <col min="25" max="25" width="9.140625" style="2"/>
    <col min="26" max="26" width="39" style="2" bestFit="1" customWidth="1"/>
    <col min="27" max="27" width="13.5703125" style="30" bestFit="1" customWidth="1"/>
    <col min="28" max="28" width="10.42578125" style="2" bestFit="1" customWidth="1"/>
    <col min="29" max="29" width="19.42578125" style="2" bestFit="1" customWidth="1"/>
    <col min="30" max="30" width="5.42578125" style="2" bestFit="1" customWidth="1"/>
    <col min="31" max="16384" width="9.140625" style="2"/>
  </cols>
  <sheetData>
    <row r="1" spans="1:30" ht="15" customHeight="1" x14ac:dyDescent="0.25">
      <c r="A1" s="13"/>
      <c r="B1" s="3"/>
      <c r="C1" s="3"/>
      <c r="D1" s="3"/>
      <c r="E1" s="116" t="s">
        <v>3</v>
      </c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3"/>
      <c r="Q1" s="3"/>
      <c r="R1" s="3"/>
      <c r="S1" s="4"/>
      <c r="T1" s="10"/>
      <c r="Z1" s="49" t="s">
        <v>4</v>
      </c>
      <c r="AA1" s="88"/>
      <c r="AB1" s="102"/>
      <c r="AC1" s="103"/>
      <c r="AD1" s="104"/>
    </row>
    <row r="2" spans="1:30" ht="15" customHeight="1" x14ac:dyDescent="0.25">
      <c r="A2" s="14"/>
      <c r="B2" s="56"/>
      <c r="C2" s="56"/>
      <c r="D2" s="56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58"/>
      <c r="Q2" s="56"/>
      <c r="R2" s="56"/>
      <c r="S2" s="6"/>
      <c r="Z2" s="50" t="s">
        <v>477</v>
      </c>
      <c r="AA2" s="89">
        <v>2</v>
      </c>
      <c r="AB2" s="95"/>
      <c r="AC2" s="95"/>
      <c r="AD2" s="105"/>
    </row>
    <row r="3" spans="1:30" ht="15" customHeight="1" x14ac:dyDescent="0.25">
      <c r="A3" s="14"/>
      <c r="B3" s="56"/>
      <c r="C3" s="56"/>
      <c r="D3" s="56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58"/>
      <c r="Q3" s="56"/>
      <c r="R3" s="56"/>
      <c r="S3" s="6"/>
      <c r="Z3" s="50" t="s">
        <v>476</v>
      </c>
      <c r="AA3" s="89"/>
      <c r="AB3" s="95"/>
      <c r="AC3" s="95"/>
      <c r="AD3" s="105"/>
    </row>
    <row r="4" spans="1:30" ht="15" customHeight="1" x14ac:dyDescent="0.25">
      <c r="A4" s="14"/>
      <c r="B4" s="56"/>
      <c r="C4" s="56"/>
      <c r="D4" s="56"/>
      <c r="E4" s="129" t="str">
        <f>"Projeto: "</f>
        <v xml:space="preserve">Projeto: </v>
      </c>
      <c r="F4" s="131" t="str">
        <f>T7</f>
        <v>MQB_A1</v>
      </c>
      <c r="G4" s="131"/>
      <c r="H4" s="131"/>
      <c r="I4" s="131"/>
      <c r="J4" s="131"/>
      <c r="K4" s="131"/>
      <c r="L4" s="131"/>
      <c r="M4" s="131"/>
      <c r="N4" s="131"/>
      <c r="O4" s="132"/>
      <c r="P4" s="58"/>
      <c r="Q4" s="56"/>
      <c r="R4" s="56"/>
      <c r="S4" s="6"/>
      <c r="Z4" s="50" t="s">
        <v>218</v>
      </c>
      <c r="AA4" s="89"/>
      <c r="AB4" s="95"/>
      <c r="AC4" s="95"/>
      <c r="AD4" s="105"/>
    </row>
    <row r="5" spans="1:30" ht="15" customHeight="1" x14ac:dyDescent="0.25">
      <c r="A5" s="80"/>
      <c r="B5" s="54"/>
      <c r="C5" s="55"/>
      <c r="D5" s="55"/>
      <c r="E5" s="130"/>
      <c r="F5" s="133"/>
      <c r="G5" s="133"/>
      <c r="H5" s="133"/>
      <c r="I5" s="133"/>
      <c r="J5" s="133"/>
      <c r="K5" s="133"/>
      <c r="L5" s="133"/>
      <c r="M5" s="133"/>
      <c r="N5" s="133"/>
      <c r="O5" s="134"/>
      <c r="P5" s="58"/>
      <c r="Q5" s="55"/>
      <c r="R5" s="55"/>
      <c r="S5" s="6"/>
      <c r="Z5" s="50" t="s">
        <v>475</v>
      </c>
      <c r="AA5" s="89"/>
      <c r="AB5" s="95"/>
      <c r="AC5" s="95"/>
      <c r="AD5" s="105"/>
    </row>
    <row r="6" spans="1:30" ht="15" customHeight="1" x14ac:dyDescent="0.25">
      <c r="A6" s="80"/>
      <c r="B6" s="54"/>
      <c r="C6" s="55"/>
      <c r="D6" s="55"/>
      <c r="E6" s="135" t="str">
        <f>"Peça: "</f>
        <v xml:space="preserve">Peça: </v>
      </c>
      <c r="F6" s="136" t="str">
        <f>T8</f>
        <v>5Q0.803.106</v>
      </c>
      <c r="G6" s="136"/>
      <c r="H6" s="136"/>
      <c r="I6" s="136"/>
      <c r="J6" s="136"/>
      <c r="K6" s="136"/>
      <c r="L6" s="136"/>
      <c r="M6" s="136"/>
      <c r="N6" s="136"/>
      <c r="O6" s="137"/>
      <c r="P6" s="58"/>
      <c r="Q6" s="55"/>
      <c r="R6" s="55"/>
      <c r="S6" s="6"/>
      <c r="T6" s="17" t="s">
        <v>376</v>
      </c>
      <c r="Z6" s="50" t="s">
        <v>249</v>
      </c>
      <c r="AA6" s="89"/>
      <c r="AB6" s="95"/>
      <c r="AC6" s="95"/>
      <c r="AD6" s="105"/>
    </row>
    <row r="7" spans="1:30" ht="15" customHeight="1" x14ac:dyDescent="0.25">
      <c r="A7" s="80"/>
      <c r="B7" s="54"/>
      <c r="C7" s="55"/>
      <c r="D7" s="55"/>
      <c r="E7" s="130"/>
      <c r="F7" s="133"/>
      <c r="G7" s="133"/>
      <c r="H7" s="133"/>
      <c r="I7" s="133"/>
      <c r="J7" s="133"/>
      <c r="K7" s="133"/>
      <c r="L7" s="133"/>
      <c r="M7" s="133"/>
      <c r="N7" s="133"/>
      <c r="O7" s="134"/>
      <c r="P7" s="55"/>
      <c r="Q7" s="55"/>
      <c r="R7" s="55"/>
      <c r="S7" s="6"/>
      <c r="T7" s="53" t="s">
        <v>75</v>
      </c>
      <c r="Z7" s="50" t="s">
        <v>2</v>
      </c>
      <c r="AA7" s="89">
        <f>SUM(AA2:AA6)</f>
        <v>2</v>
      </c>
      <c r="AB7" s="95">
        <f>SUM(AB2:AB6)</f>
        <v>0</v>
      </c>
      <c r="AC7" s="95"/>
      <c r="AD7" s="105"/>
    </row>
    <row r="8" spans="1:30" ht="15" customHeight="1" x14ac:dyDescent="0.25">
      <c r="A8" s="15"/>
      <c r="E8" s="135" t="str">
        <f>"Ano: "</f>
        <v xml:space="preserve">Ano: </v>
      </c>
      <c r="F8" s="136">
        <f>T9</f>
        <v>2017</v>
      </c>
      <c r="G8" s="136"/>
      <c r="H8" s="136"/>
      <c r="I8" s="136"/>
      <c r="J8" s="136"/>
      <c r="K8" s="136"/>
      <c r="L8" s="136"/>
      <c r="M8" s="136"/>
      <c r="N8" s="136"/>
      <c r="O8" s="137"/>
      <c r="S8" s="6"/>
      <c r="T8" s="2" t="s">
        <v>103</v>
      </c>
      <c r="Z8" s="48" t="s">
        <v>5</v>
      </c>
      <c r="AA8" s="90"/>
      <c r="AB8" s="106"/>
      <c r="AC8" s="106"/>
      <c r="AD8" s="107"/>
    </row>
    <row r="9" spans="1:30" ht="15" customHeight="1" x14ac:dyDescent="0.25">
      <c r="A9" s="81"/>
      <c r="B9" s="57"/>
      <c r="C9" s="57"/>
      <c r="D9" s="57"/>
      <c r="E9" s="130"/>
      <c r="F9" s="133"/>
      <c r="G9" s="133"/>
      <c r="H9" s="133"/>
      <c r="I9" s="133"/>
      <c r="J9" s="133"/>
      <c r="K9" s="133"/>
      <c r="L9" s="133"/>
      <c r="M9" s="133"/>
      <c r="N9" s="133"/>
      <c r="O9" s="134"/>
      <c r="P9" s="57"/>
      <c r="Q9" s="57"/>
      <c r="R9" s="57"/>
      <c r="S9" s="6"/>
      <c r="T9" s="2">
        <v>2017</v>
      </c>
      <c r="Z9" s="44" t="s">
        <v>8</v>
      </c>
      <c r="AA9" s="91"/>
      <c r="AB9" s="108"/>
      <c r="AC9" s="108"/>
      <c r="AD9" s="109"/>
    </row>
    <row r="10" spans="1:30" x14ac:dyDescent="0.25">
      <c r="A10" s="81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6"/>
      <c r="Z10" s="44" t="s">
        <v>7</v>
      </c>
      <c r="AA10" s="91"/>
      <c r="AB10" s="108"/>
      <c r="AC10" s="108"/>
      <c r="AD10" s="109"/>
    </row>
    <row r="11" spans="1:30" ht="15" customHeight="1" x14ac:dyDescent="0.25">
      <c r="A11" s="81"/>
      <c r="B11" s="118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6"/>
      <c r="Z11" s="44" t="s">
        <v>41</v>
      </c>
      <c r="AA11" s="91"/>
      <c r="AB11" s="108"/>
      <c r="AC11" s="108"/>
      <c r="AD11" s="109"/>
    </row>
    <row r="12" spans="1:30" ht="15" customHeight="1" x14ac:dyDescent="0.25">
      <c r="A12" s="81"/>
      <c r="B12" s="118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6"/>
      <c r="Z12" s="44" t="s">
        <v>40</v>
      </c>
      <c r="AA12" s="91"/>
      <c r="AB12" s="108"/>
      <c r="AC12" s="108"/>
      <c r="AD12" s="109"/>
    </row>
    <row r="13" spans="1:30" ht="15" customHeight="1" x14ac:dyDescent="0.25">
      <c r="A13" s="81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6"/>
      <c r="T13" s="12"/>
      <c r="Z13" s="44" t="s">
        <v>1</v>
      </c>
      <c r="AA13" s="91"/>
      <c r="AB13" s="108"/>
      <c r="AC13" s="108"/>
      <c r="AD13" s="109"/>
    </row>
    <row r="14" spans="1:30" ht="15" customHeight="1" x14ac:dyDescent="0.25">
      <c r="A14" s="81"/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6"/>
      <c r="T14" s="11"/>
      <c r="Z14" s="96" t="s">
        <v>356</v>
      </c>
      <c r="AA14" s="94"/>
      <c r="AB14" s="110"/>
      <c r="AC14" s="110"/>
      <c r="AD14" s="111"/>
    </row>
    <row r="15" spans="1:30" ht="15" customHeight="1" x14ac:dyDescent="0.25">
      <c r="A15" s="81"/>
      <c r="B15" s="118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6"/>
      <c r="Z15" s="45" t="s">
        <v>353</v>
      </c>
      <c r="AA15" s="98"/>
      <c r="AB15" s="99"/>
      <c r="AC15" s="100"/>
      <c r="AD15" s="101"/>
    </row>
    <row r="16" spans="1:30" ht="15" customHeight="1" x14ac:dyDescent="0.25">
      <c r="A16" s="81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6"/>
      <c r="Z16" s="45" t="s">
        <v>185</v>
      </c>
      <c r="AA16" s="98"/>
      <c r="AB16" s="99"/>
      <c r="AC16" s="100"/>
      <c r="AD16" s="101"/>
    </row>
    <row r="17" spans="1:30" x14ac:dyDescent="0.25">
      <c r="A17" s="81"/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6"/>
      <c r="Z17" s="45" t="s">
        <v>210</v>
      </c>
      <c r="AA17" s="98"/>
      <c r="AB17" s="99"/>
      <c r="AC17" s="100"/>
      <c r="AD17" s="101"/>
    </row>
    <row r="18" spans="1:30" x14ac:dyDescent="0.25">
      <c r="A18" s="81"/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6"/>
      <c r="Z18" s="45" t="s">
        <v>354</v>
      </c>
      <c r="AA18" s="98"/>
      <c r="AB18" s="99"/>
      <c r="AC18" s="100"/>
      <c r="AD18" s="101"/>
    </row>
    <row r="19" spans="1:30" x14ac:dyDescent="0.25">
      <c r="A19" s="81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6"/>
      <c r="Z19" s="45" t="s">
        <v>46</v>
      </c>
      <c r="AA19" s="98"/>
      <c r="AB19" s="99"/>
      <c r="AC19" s="100"/>
      <c r="AD19" s="101"/>
    </row>
    <row r="20" spans="1:30" x14ac:dyDescent="0.25">
      <c r="A20" s="81"/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6"/>
      <c r="Z20" s="45" t="s">
        <v>204</v>
      </c>
      <c r="AA20" s="98"/>
      <c r="AB20" s="99"/>
      <c r="AC20" s="100"/>
      <c r="AD20" s="101"/>
    </row>
    <row r="21" spans="1:30" x14ac:dyDescent="0.25">
      <c r="A21" s="81"/>
      <c r="B21" s="118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6"/>
      <c r="Z21" s="45" t="s">
        <v>143</v>
      </c>
      <c r="AA21" s="98"/>
      <c r="AB21" s="99"/>
      <c r="AC21" s="100"/>
      <c r="AD21" s="101"/>
    </row>
    <row r="22" spans="1:30" x14ac:dyDescent="0.25">
      <c r="A22" s="81"/>
      <c r="B22" s="118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6"/>
      <c r="Z22" s="45" t="s">
        <v>147</v>
      </c>
      <c r="AA22" s="98"/>
      <c r="AB22" s="99"/>
      <c r="AC22" s="100"/>
      <c r="AD22" s="101">
        <v>1</v>
      </c>
    </row>
    <row r="23" spans="1:30" x14ac:dyDescent="0.25">
      <c r="A23" s="81"/>
      <c r="B23" s="118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6"/>
      <c r="Z23" s="45" t="s">
        <v>57</v>
      </c>
      <c r="AA23" s="98"/>
      <c r="AB23" s="99"/>
      <c r="AC23" s="100"/>
      <c r="AD23" s="101"/>
    </row>
    <row r="24" spans="1:30" x14ac:dyDescent="0.25">
      <c r="A24" s="81"/>
      <c r="B24" s="11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6"/>
      <c r="Z24" s="46" t="s">
        <v>52</v>
      </c>
      <c r="AA24" s="98"/>
      <c r="AB24" s="99"/>
      <c r="AC24" s="100"/>
      <c r="AD24" s="101">
        <v>1</v>
      </c>
    </row>
    <row r="25" spans="1:30" x14ac:dyDescent="0.25">
      <c r="A25" s="81"/>
      <c r="B25" s="118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6"/>
      <c r="Z25" s="46"/>
      <c r="AA25" s="98"/>
      <c r="AB25" s="99"/>
      <c r="AC25" s="100"/>
      <c r="AD25" s="101"/>
    </row>
    <row r="26" spans="1:30" x14ac:dyDescent="0.25">
      <c r="A26" s="81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6"/>
      <c r="Z26" s="46"/>
      <c r="AA26" s="92"/>
      <c r="AB26" s="100"/>
      <c r="AC26" s="100"/>
      <c r="AD26" s="101"/>
    </row>
    <row r="27" spans="1:30" x14ac:dyDescent="0.25">
      <c r="A27" s="81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6"/>
      <c r="Z27" s="46"/>
      <c r="AA27" s="92"/>
      <c r="AB27" s="100"/>
      <c r="AC27" s="100"/>
      <c r="AD27" s="101"/>
    </row>
    <row r="28" spans="1:30" x14ac:dyDescent="0.25">
      <c r="A28" s="81"/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6"/>
      <c r="Z28" s="97"/>
      <c r="AA28" s="92" t="s">
        <v>8</v>
      </c>
      <c r="AB28" s="100" t="s">
        <v>7</v>
      </c>
      <c r="AC28" s="100" t="s">
        <v>41</v>
      </c>
      <c r="AD28" s="101" t="s">
        <v>479</v>
      </c>
    </row>
    <row r="29" spans="1:30" x14ac:dyDescent="0.25">
      <c r="A29" s="81"/>
      <c r="B29" s="118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6"/>
      <c r="Z29" s="46"/>
      <c r="AA29" s="92"/>
      <c r="AB29" s="100"/>
      <c r="AC29" s="100"/>
      <c r="AD29" s="101"/>
    </row>
    <row r="30" spans="1:30" x14ac:dyDescent="0.25">
      <c r="A30" s="81"/>
      <c r="B30" s="118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6"/>
      <c r="Z30" s="46"/>
      <c r="AA30" s="92"/>
      <c r="AB30" s="100"/>
      <c r="AC30" s="100"/>
      <c r="AD30" s="101"/>
    </row>
    <row r="31" spans="1:30" x14ac:dyDescent="0.25">
      <c r="A31" s="81"/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6"/>
      <c r="Z31" s="46"/>
      <c r="AA31" s="92"/>
      <c r="AB31" s="100"/>
      <c r="AC31" s="100"/>
      <c r="AD31" s="101"/>
    </row>
    <row r="32" spans="1:30" x14ac:dyDescent="0.25">
      <c r="A32" s="81"/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6"/>
      <c r="Z32" s="46"/>
      <c r="AA32" s="92"/>
      <c r="AB32" s="100"/>
      <c r="AC32" s="100"/>
      <c r="AD32" s="101"/>
    </row>
    <row r="33" spans="1:30" x14ac:dyDescent="0.25">
      <c r="A33" s="81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6"/>
      <c r="Z33" s="46"/>
      <c r="AA33" s="92"/>
      <c r="AB33" s="100"/>
      <c r="AC33" s="100"/>
      <c r="AD33" s="101"/>
    </row>
    <row r="34" spans="1:30" x14ac:dyDescent="0.25">
      <c r="A34" s="81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6"/>
      <c r="Z34" s="97"/>
      <c r="AA34" s="92"/>
      <c r="AB34" s="100"/>
      <c r="AC34" s="100"/>
      <c r="AD34" s="101"/>
    </row>
    <row r="35" spans="1:30" x14ac:dyDescent="0.25">
      <c r="A35" s="81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6"/>
      <c r="Z35" s="46"/>
      <c r="AA35" s="92"/>
      <c r="AB35" s="100"/>
      <c r="AC35" s="100"/>
      <c r="AD35" s="101"/>
    </row>
    <row r="36" spans="1:30" x14ac:dyDescent="0.25">
      <c r="A36" s="81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6"/>
      <c r="Z36" s="46"/>
      <c r="AA36" s="92"/>
      <c r="AB36" s="100"/>
      <c r="AC36" s="100"/>
      <c r="AD36" s="101"/>
    </row>
    <row r="37" spans="1:30" x14ac:dyDescent="0.25">
      <c r="A37" s="81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6"/>
      <c r="Z37" s="46"/>
      <c r="AA37" s="92"/>
      <c r="AB37" s="100"/>
      <c r="AC37" s="100"/>
      <c r="AD37" s="101"/>
    </row>
    <row r="38" spans="1:30" x14ac:dyDescent="0.25">
      <c r="A38" s="81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6"/>
      <c r="Z38" s="46"/>
      <c r="AA38" s="92"/>
      <c r="AB38" s="100"/>
      <c r="AC38" s="100"/>
      <c r="AD38" s="101"/>
    </row>
    <row r="39" spans="1:30" ht="15.75" thickBot="1" x14ac:dyDescent="0.3">
      <c r="A39" s="81"/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6"/>
      <c r="Z39" s="47"/>
      <c r="AA39" s="93"/>
      <c r="AB39" s="112"/>
      <c r="AC39" s="112"/>
      <c r="AD39" s="113"/>
    </row>
    <row r="40" spans="1:30" x14ac:dyDescent="0.25">
      <c r="A40" s="81"/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6"/>
    </row>
    <row r="41" spans="1:30" x14ac:dyDescent="0.25">
      <c r="A41" s="81"/>
      <c r="B41" s="118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6"/>
    </row>
    <row r="42" spans="1:30" x14ac:dyDescent="0.25">
      <c r="A42" s="5"/>
      <c r="B42" s="118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6"/>
    </row>
    <row r="43" spans="1:30" x14ac:dyDescent="0.25">
      <c r="A43" s="5"/>
      <c r="B43" s="118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6"/>
    </row>
    <row r="44" spans="1:30" x14ac:dyDescent="0.25">
      <c r="A44" s="5"/>
      <c r="B44" s="118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6"/>
    </row>
    <row r="45" spans="1:30" x14ac:dyDescent="0.25">
      <c r="A45" s="5"/>
      <c r="B45" s="118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8"/>
      <c r="Q45" s="118"/>
      <c r="R45" s="118"/>
      <c r="S45" s="6"/>
    </row>
    <row r="46" spans="1:30" x14ac:dyDescent="0.25">
      <c r="A46" s="15"/>
      <c r="B46" s="118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6"/>
    </row>
    <row r="47" spans="1:30" ht="15" customHeight="1" x14ac:dyDescent="0.25">
      <c r="A47" s="14"/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6"/>
    </row>
    <row r="48" spans="1:30" ht="15" customHeight="1" x14ac:dyDescent="0.25">
      <c r="A48" s="14"/>
      <c r="B48" s="118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6"/>
    </row>
    <row r="49" spans="1:19" ht="15" customHeight="1" x14ac:dyDescent="0.25">
      <c r="A49" s="14"/>
      <c r="B49" s="118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6"/>
    </row>
    <row r="50" spans="1:19" ht="15" customHeight="1" x14ac:dyDescent="0.25">
      <c r="A50" s="80"/>
      <c r="B50" s="54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6"/>
    </row>
    <row r="51" spans="1:19" ht="15" customHeight="1" x14ac:dyDescent="0.25">
      <c r="A51" s="80"/>
      <c r="B51" s="59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"/>
    </row>
    <row r="52" spans="1:19" ht="15" customHeight="1" x14ac:dyDescent="0.25">
      <c r="A52" s="80"/>
      <c r="B52" s="54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6"/>
    </row>
    <row r="53" spans="1:19" x14ac:dyDescent="0.25">
      <c r="A53" s="15"/>
      <c r="S53" s="6"/>
    </row>
    <row r="54" spans="1:19" ht="15" customHeight="1" x14ac:dyDescent="0.25">
      <c r="A54" s="127" t="s">
        <v>163</v>
      </c>
      <c r="B54" s="118"/>
      <c r="C54" s="118"/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6"/>
    </row>
    <row r="55" spans="1:19" x14ac:dyDescent="0.25">
      <c r="A55" s="127"/>
      <c r="B55" s="118"/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6"/>
    </row>
    <row r="56" spans="1:19" x14ac:dyDescent="0.25">
      <c r="A56" s="127"/>
      <c r="B56" s="118"/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6"/>
    </row>
    <row r="57" spans="1:19" x14ac:dyDescent="0.25">
      <c r="A57" s="127"/>
      <c r="B57" s="118"/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6"/>
    </row>
    <row r="58" spans="1:19" x14ac:dyDescent="0.25">
      <c r="A58" s="127"/>
      <c r="B58" s="118"/>
      <c r="C58" s="118"/>
      <c r="D58" s="118"/>
      <c r="E58" s="118"/>
      <c r="F58" s="118"/>
      <c r="G58" s="118"/>
      <c r="H58" s="118"/>
      <c r="I58" s="118"/>
      <c r="J58" s="118"/>
      <c r="K58" s="118"/>
      <c r="L58" s="118"/>
      <c r="M58" s="118"/>
      <c r="N58" s="118"/>
      <c r="O58" s="118"/>
      <c r="P58" s="118"/>
      <c r="Q58" s="118"/>
      <c r="R58" s="118"/>
      <c r="S58" s="6"/>
    </row>
    <row r="59" spans="1:19" x14ac:dyDescent="0.25">
      <c r="A59" s="127"/>
      <c r="B59" s="118"/>
      <c r="C59" s="118"/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6"/>
    </row>
    <row r="60" spans="1:19" x14ac:dyDescent="0.25">
      <c r="A60" s="127"/>
      <c r="B60" s="118"/>
      <c r="C60" s="118"/>
      <c r="D60" s="118"/>
      <c r="E60" s="118"/>
      <c r="F60" s="118"/>
      <c r="G60" s="118"/>
      <c r="H60" s="118"/>
      <c r="I60" s="118"/>
      <c r="J60" s="118"/>
      <c r="K60" s="118"/>
      <c r="L60" s="118"/>
      <c r="M60" s="118"/>
      <c r="N60" s="118"/>
      <c r="O60" s="118"/>
      <c r="P60" s="118"/>
      <c r="Q60" s="118"/>
      <c r="R60" s="118"/>
      <c r="S60" s="6"/>
    </row>
    <row r="61" spans="1:19" x14ac:dyDescent="0.25">
      <c r="A61" s="127"/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6"/>
    </row>
    <row r="62" spans="1:19" x14ac:dyDescent="0.25">
      <c r="A62" s="127"/>
      <c r="B62" s="118"/>
      <c r="C62" s="118"/>
      <c r="D62" s="118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6"/>
    </row>
    <row r="63" spans="1:19" x14ac:dyDescent="0.25">
      <c r="A63" s="127"/>
      <c r="B63" s="118"/>
      <c r="C63" s="118"/>
      <c r="D63" s="118"/>
      <c r="E63" s="118"/>
      <c r="F63" s="118"/>
      <c r="G63" s="118"/>
      <c r="H63" s="118"/>
      <c r="I63" s="118"/>
      <c r="J63" s="118"/>
      <c r="K63" s="118"/>
      <c r="L63" s="118"/>
      <c r="M63" s="118"/>
      <c r="N63" s="118"/>
      <c r="O63" s="118"/>
      <c r="P63" s="118"/>
      <c r="Q63" s="118"/>
      <c r="R63" s="118"/>
      <c r="S63" s="6"/>
    </row>
    <row r="64" spans="1:19" x14ac:dyDescent="0.25">
      <c r="A64" s="127"/>
      <c r="B64" s="118"/>
      <c r="C64" s="118"/>
      <c r="D64" s="118"/>
      <c r="E64" s="118"/>
      <c r="F64" s="118"/>
      <c r="G64" s="118"/>
      <c r="H64" s="118"/>
      <c r="I64" s="118"/>
      <c r="J64" s="118"/>
      <c r="K64" s="118"/>
      <c r="L64" s="118"/>
      <c r="M64" s="118"/>
      <c r="N64" s="118"/>
      <c r="O64" s="118"/>
      <c r="P64" s="118"/>
      <c r="Q64" s="118"/>
      <c r="R64" s="118"/>
      <c r="S64" s="6"/>
    </row>
    <row r="65" spans="1:19" x14ac:dyDescent="0.25">
      <c r="A65" s="127"/>
      <c r="B65" s="118"/>
      <c r="C65" s="118"/>
      <c r="D65" s="118"/>
      <c r="E65" s="118"/>
      <c r="F65" s="118"/>
      <c r="G65" s="118"/>
      <c r="H65" s="118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6"/>
    </row>
    <row r="66" spans="1:19" x14ac:dyDescent="0.25">
      <c r="A66" s="127"/>
      <c r="B66" s="118"/>
      <c r="C66" s="118"/>
      <c r="D66" s="118"/>
      <c r="E66" s="118"/>
      <c r="F66" s="118"/>
      <c r="G66" s="118"/>
      <c r="H66" s="118"/>
      <c r="I66" s="118"/>
      <c r="J66" s="118"/>
      <c r="K66" s="118"/>
      <c r="L66" s="118"/>
      <c r="M66" s="118"/>
      <c r="N66" s="118"/>
      <c r="O66" s="118"/>
      <c r="P66" s="118"/>
      <c r="Q66" s="118"/>
      <c r="R66" s="118"/>
      <c r="S66" s="6"/>
    </row>
    <row r="67" spans="1:19" x14ac:dyDescent="0.25">
      <c r="A67" s="127"/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6"/>
    </row>
    <row r="68" spans="1:19" x14ac:dyDescent="0.25">
      <c r="A68" s="127"/>
      <c r="B68" s="118"/>
      <c r="C68" s="118"/>
      <c r="D68" s="118"/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118"/>
      <c r="Q68" s="118"/>
      <c r="R68" s="118"/>
      <c r="S68" s="6"/>
    </row>
    <row r="69" spans="1:19" x14ac:dyDescent="0.25">
      <c r="A69" s="127"/>
      <c r="B69" s="118"/>
      <c r="C69" s="118"/>
      <c r="D69" s="118"/>
      <c r="E69" s="118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118"/>
      <c r="Q69" s="118"/>
      <c r="R69" s="118"/>
      <c r="S69" s="6"/>
    </row>
    <row r="70" spans="1:19" x14ac:dyDescent="0.25">
      <c r="A70" s="127"/>
      <c r="B70" s="118"/>
      <c r="C70" s="118"/>
      <c r="D70" s="118"/>
      <c r="E70" s="118"/>
      <c r="F70" s="118"/>
      <c r="G70" s="118"/>
      <c r="H70" s="118"/>
      <c r="I70" s="118"/>
      <c r="J70" s="118"/>
      <c r="K70" s="118"/>
      <c r="L70" s="118"/>
      <c r="M70" s="118"/>
      <c r="N70" s="118"/>
      <c r="O70" s="118"/>
      <c r="P70" s="118"/>
      <c r="Q70" s="118"/>
      <c r="R70" s="118"/>
      <c r="S70" s="6"/>
    </row>
    <row r="71" spans="1:19" x14ac:dyDescent="0.25">
      <c r="A71" s="127"/>
      <c r="B71" s="118"/>
      <c r="C71" s="118"/>
      <c r="D71" s="118"/>
      <c r="E71" s="118"/>
      <c r="F71" s="118"/>
      <c r="G71" s="118"/>
      <c r="H71" s="118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6"/>
    </row>
    <row r="72" spans="1:19" x14ac:dyDescent="0.25">
      <c r="A72" s="127"/>
      <c r="B72" s="118"/>
      <c r="C72" s="118"/>
      <c r="D72" s="118"/>
      <c r="E72" s="118"/>
      <c r="F72" s="118"/>
      <c r="G72" s="118"/>
      <c r="H72" s="118"/>
      <c r="I72" s="118"/>
      <c r="J72" s="118"/>
      <c r="K72" s="118"/>
      <c r="L72" s="118"/>
      <c r="M72" s="118"/>
      <c r="N72" s="118"/>
      <c r="O72" s="118"/>
      <c r="P72" s="118"/>
      <c r="Q72" s="118"/>
      <c r="R72" s="118"/>
      <c r="S72" s="6"/>
    </row>
    <row r="73" spans="1:19" x14ac:dyDescent="0.25">
      <c r="A73" s="127"/>
      <c r="B73" s="118"/>
      <c r="C73" s="118"/>
      <c r="D73" s="118"/>
      <c r="E73" s="118"/>
      <c r="F73" s="118"/>
      <c r="G73" s="118"/>
      <c r="H73" s="118"/>
      <c r="I73" s="118"/>
      <c r="J73" s="118"/>
      <c r="K73" s="118"/>
      <c r="L73" s="118"/>
      <c r="M73" s="118"/>
      <c r="N73" s="118"/>
      <c r="O73" s="118"/>
      <c r="P73" s="118"/>
      <c r="Q73" s="118"/>
      <c r="R73" s="118"/>
      <c r="S73" s="6"/>
    </row>
    <row r="74" spans="1:19" x14ac:dyDescent="0.25">
      <c r="A74" s="127"/>
      <c r="B74" s="118"/>
      <c r="C74" s="118"/>
      <c r="D74" s="118"/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6"/>
    </row>
    <row r="75" spans="1:19" x14ac:dyDescent="0.25">
      <c r="A75" s="127"/>
      <c r="B75" s="118"/>
      <c r="C75" s="118"/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6"/>
    </row>
    <row r="76" spans="1:19" x14ac:dyDescent="0.25">
      <c r="A76" s="127"/>
      <c r="B76" s="118"/>
      <c r="C76" s="118"/>
      <c r="D76" s="118"/>
      <c r="E76" s="118"/>
      <c r="F76" s="118"/>
      <c r="G76" s="118"/>
      <c r="H76" s="118"/>
      <c r="I76" s="118"/>
      <c r="J76" s="118"/>
      <c r="K76" s="118"/>
      <c r="L76" s="118"/>
      <c r="M76" s="118"/>
      <c r="N76" s="118"/>
      <c r="O76" s="118"/>
      <c r="P76" s="118"/>
      <c r="Q76" s="118"/>
      <c r="R76" s="118"/>
      <c r="S76" s="6"/>
    </row>
    <row r="77" spans="1:19" x14ac:dyDescent="0.25">
      <c r="A77" s="127"/>
      <c r="B77" s="118"/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6"/>
    </row>
    <row r="78" spans="1:19" x14ac:dyDescent="0.25">
      <c r="A78" s="127"/>
      <c r="B78" s="118"/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6"/>
    </row>
    <row r="79" spans="1:19" x14ac:dyDescent="0.25">
      <c r="A79" s="127"/>
      <c r="B79" s="118"/>
      <c r="C79" s="118"/>
      <c r="D79" s="118"/>
      <c r="E79" s="118"/>
      <c r="F79" s="118"/>
      <c r="G79" s="118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6"/>
    </row>
    <row r="80" spans="1:19" x14ac:dyDescent="0.25">
      <c r="A80" s="127"/>
      <c r="B80" s="118"/>
      <c r="C80" s="118"/>
      <c r="D80" s="118"/>
      <c r="E80" s="118"/>
      <c r="F80" s="118"/>
      <c r="G80" s="118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6"/>
    </row>
    <row r="81" spans="1:26" x14ac:dyDescent="0.25">
      <c r="A81" s="127"/>
      <c r="B81" s="118"/>
      <c r="C81" s="118"/>
      <c r="D81" s="118"/>
      <c r="E81" s="118"/>
      <c r="F81" s="118"/>
      <c r="G81" s="118"/>
      <c r="H81" s="118"/>
      <c r="I81" s="118"/>
      <c r="J81" s="118"/>
      <c r="K81" s="118"/>
      <c r="L81" s="118"/>
      <c r="M81" s="118"/>
      <c r="N81" s="118"/>
      <c r="O81" s="118"/>
      <c r="P81" s="118"/>
      <c r="Q81" s="118"/>
      <c r="R81" s="118"/>
      <c r="S81" s="6"/>
    </row>
    <row r="82" spans="1:26" x14ac:dyDescent="0.25">
      <c r="A82" s="127"/>
      <c r="B82" s="118"/>
      <c r="C82" s="118"/>
      <c r="D82" s="118"/>
      <c r="E82" s="118"/>
      <c r="F82" s="118"/>
      <c r="G82" s="118"/>
      <c r="H82" s="118"/>
      <c r="I82" s="118"/>
      <c r="J82" s="118"/>
      <c r="K82" s="118"/>
      <c r="L82" s="118"/>
      <c r="M82" s="118"/>
      <c r="N82" s="118"/>
      <c r="O82" s="118"/>
      <c r="P82" s="118"/>
      <c r="Q82" s="118"/>
      <c r="R82" s="118"/>
      <c r="S82" s="6"/>
    </row>
    <row r="83" spans="1:26" x14ac:dyDescent="0.25">
      <c r="A83" s="127"/>
      <c r="B83" s="118"/>
      <c r="C83" s="118"/>
      <c r="D83" s="118"/>
      <c r="E83" s="118"/>
      <c r="F83" s="118"/>
      <c r="G83" s="118"/>
      <c r="H83" s="118"/>
      <c r="I83" s="118"/>
      <c r="J83" s="118"/>
      <c r="K83" s="118"/>
      <c r="L83" s="118"/>
      <c r="M83" s="118"/>
      <c r="N83" s="118"/>
      <c r="O83" s="118"/>
      <c r="P83" s="118"/>
      <c r="Q83" s="118"/>
      <c r="R83" s="118"/>
      <c r="S83" s="6"/>
    </row>
    <row r="84" spans="1:26" x14ac:dyDescent="0.25">
      <c r="A84" s="127"/>
      <c r="B84" s="118"/>
      <c r="C84" s="118"/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118"/>
      <c r="Q84" s="118"/>
      <c r="R84" s="118"/>
      <c r="S84" s="6"/>
    </row>
    <row r="85" spans="1:26" x14ac:dyDescent="0.25">
      <c r="A85" s="127"/>
      <c r="B85" s="118"/>
      <c r="C85" s="118"/>
      <c r="D85" s="118"/>
      <c r="E85" s="118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118"/>
      <c r="Q85" s="118"/>
      <c r="R85" s="118"/>
      <c r="S85" s="6"/>
    </row>
    <row r="86" spans="1:26" x14ac:dyDescent="0.25">
      <c r="A86" s="127"/>
      <c r="B86" s="118"/>
      <c r="C86" s="118"/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8"/>
      <c r="Q86" s="118"/>
      <c r="R86" s="118"/>
      <c r="S86" s="6"/>
      <c r="Z86" s="30"/>
    </row>
    <row r="87" spans="1:26" x14ac:dyDescent="0.25">
      <c r="A87" s="127"/>
      <c r="B87" s="118"/>
      <c r="C87" s="118"/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118"/>
      <c r="Q87" s="118"/>
      <c r="R87" s="118"/>
      <c r="S87" s="6"/>
    </row>
    <row r="88" spans="1:26" x14ac:dyDescent="0.25">
      <c r="A88" s="127"/>
      <c r="B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6"/>
    </row>
    <row r="89" spans="1:26" x14ac:dyDescent="0.25">
      <c r="A89" s="127"/>
      <c r="B89" s="11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18"/>
      <c r="O89" s="118"/>
      <c r="P89" s="118"/>
      <c r="Q89" s="118"/>
      <c r="R89" s="118"/>
      <c r="S89" s="6"/>
    </row>
    <row r="90" spans="1:26" x14ac:dyDescent="0.25">
      <c r="A90" s="127"/>
      <c r="B90" s="118"/>
      <c r="C90" s="118"/>
      <c r="D90" s="118"/>
      <c r="E90" s="118"/>
      <c r="F90" s="118"/>
      <c r="G90" s="118"/>
      <c r="H90" s="118"/>
      <c r="I90" s="118"/>
      <c r="J90" s="118"/>
      <c r="K90" s="118"/>
      <c r="L90" s="118"/>
      <c r="M90" s="118"/>
      <c r="N90" s="118"/>
      <c r="O90" s="118"/>
      <c r="P90" s="118"/>
      <c r="Q90" s="118"/>
      <c r="R90" s="118"/>
      <c r="S90" s="76"/>
    </row>
    <row r="91" spans="1:26" x14ac:dyDescent="0.25">
      <c r="A91" s="127"/>
      <c r="B91" s="118"/>
      <c r="C91" s="118"/>
      <c r="D91" s="118"/>
      <c r="E91" s="118"/>
      <c r="F91" s="118"/>
      <c r="G91" s="118"/>
      <c r="H91" s="118"/>
      <c r="I91" s="118"/>
      <c r="J91" s="118"/>
      <c r="K91" s="118"/>
      <c r="L91" s="118"/>
      <c r="M91" s="118"/>
      <c r="N91" s="118"/>
      <c r="O91" s="118"/>
      <c r="P91" s="118"/>
      <c r="Q91" s="118"/>
      <c r="R91" s="118"/>
      <c r="S91" s="77"/>
    </row>
    <row r="92" spans="1:26" ht="15" customHeight="1" x14ac:dyDescent="0.25">
      <c r="A92" s="127"/>
      <c r="B92" s="118"/>
      <c r="C92" s="118"/>
      <c r="D92" s="118"/>
      <c r="E92" s="118"/>
      <c r="F92" s="118"/>
      <c r="G92" s="118"/>
      <c r="H92" s="118"/>
      <c r="I92" s="118"/>
      <c r="J92" s="118"/>
      <c r="K92" s="118"/>
      <c r="L92" s="118"/>
      <c r="M92" s="118"/>
      <c r="N92" s="118"/>
      <c r="O92" s="118"/>
      <c r="P92" s="118"/>
      <c r="Q92" s="118"/>
      <c r="R92" s="118"/>
      <c r="S92" s="77"/>
    </row>
    <row r="93" spans="1:26" ht="15" customHeight="1" x14ac:dyDescent="0.25">
      <c r="A93" s="14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77"/>
    </row>
    <row r="94" spans="1:26" ht="15" customHeight="1" x14ac:dyDescent="0.25">
      <c r="A94" s="14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77"/>
    </row>
    <row r="95" spans="1:26" ht="15" customHeight="1" x14ac:dyDescent="0.25">
      <c r="A95" s="80"/>
      <c r="B95" s="54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77"/>
    </row>
    <row r="96" spans="1:26" ht="15" customHeight="1" x14ac:dyDescent="0.25">
      <c r="A96" s="80"/>
      <c r="B96" s="54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77"/>
    </row>
    <row r="97" spans="1:19" ht="15" customHeight="1" x14ac:dyDescent="0.25">
      <c r="A97" s="80"/>
      <c r="B97" s="125"/>
      <c r="C97" s="125"/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77"/>
    </row>
    <row r="98" spans="1:19" ht="15" customHeight="1" x14ac:dyDescent="0.25">
      <c r="A98" s="82"/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77"/>
    </row>
    <row r="99" spans="1:19" ht="15" customHeight="1" x14ac:dyDescent="0.25">
      <c r="A99" s="128"/>
      <c r="B99" s="125"/>
      <c r="C99" s="125"/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6"/>
    </row>
    <row r="100" spans="1:19" ht="15" customHeight="1" x14ac:dyDescent="0.25">
      <c r="A100" s="128"/>
      <c r="B100" s="125"/>
      <c r="C100" s="125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6"/>
    </row>
    <row r="101" spans="1:19" ht="15" customHeight="1" x14ac:dyDescent="0.25">
      <c r="A101" s="128"/>
      <c r="B101" s="125"/>
      <c r="C101" s="125"/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6"/>
    </row>
    <row r="102" spans="1:19" ht="15" customHeight="1" x14ac:dyDescent="0.25">
      <c r="A102" s="128"/>
      <c r="B102" s="125"/>
      <c r="C102" s="125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6"/>
    </row>
    <row r="103" spans="1:19" ht="15" customHeight="1" x14ac:dyDescent="0.25">
      <c r="A103" s="128"/>
      <c r="B103" s="125"/>
      <c r="C103" s="125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6"/>
    </row>
    <row r="104" spans="1:19" ht="15" customHeight="1" x14ac:dyDescent="0.25">
      <c r="A104" s="128"/>
      <c r="B104" s="125"/>
      <c r="C104" s="125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6"/>
    </row>
    <row r="105" spans="1:19" ht="15" customHeight="1" x14ac:dyDescent="0.25">
      <c r="A105" s="128"/>
      <c r="B105" s="125"/>
      <c r="C105" s="125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6"/>
    </row>
    <row r="106" spans="1:19" ht="15" customHeight="1" x14ac:dyDescent="0.25">
      <c r="A106" s="128"/>
      <c r="B106" s="125"/>
      <c r="C106" s="125"/>
      <c r="D106" s="125"/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6"/>
    </row>
    <row r="107" spans="1:19" ht="15" customHeight="1" x14ac:dyDescent="0.25">
      <c r="A107" s="128"/>
      <c r="B107" s="125"/>
      <c r="C107" s="125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6"/>
    </row>
    <row r="108" spans="1:19" ht="15" customHeight="1" x14ac:dyDescent="0.25">
      <c r="A108" s="128"/>
      <c r="B108" s="125"/>
      <c r="C108" s="125"/>
      <c r="D108" s="125"/>
      <c r="E108" s="125"/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6"/>
    </row>
    <row r="109" spans="1:19" ht="15" customHeight="1" x14ac:dyDescent="0.25">
      <c r="A109" s="128"/>
      <c r="B109" s="125"/>
      <c r="C109" s="125"/>
      <c r="D109" s="125"/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6"/>
    </row>
    <row r="110" spans="1:19" ht="15" customHeight="1" x14ac:dyDescent="0.25">
      <c r="A110" s="128"/>
      <c r="B110" s="125"/>
      <c r="C110" s="125"/>
      <c r="D110" s="125"/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6"/>
    </row>
    <row r="111" spans="1:19" ht="15" customHeight="1" x14ac:dyDescent="0.25">
      <c r="A111" s="128"/>
      <c r="B111" s="125"/>
      <c r="C111" s="125"/>
      <c r="D111" s="125"/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6"/>
    </row>
    <row r="112" spans="1:19" ht="15" customHeight="1" x14ac:dyDescent="0.25">
      <c r="A112" s="128"/>
      <c r="B112" s="125"/>
      <c r="C112" s="125"/>
      <c r="D112" s="125"/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6"/>
    </row>
    <row r="113" spans="1:19" ht="15" customHeight="1" x14ac:dyDescent="0.25">
      <c r="A113" s="128"/>
      <c r="B113" s="125"/>
      <c r="C113" s="125"/>
      <c r="D113" s="125"/>
      <c r="E113" s="125"/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6"/>
    </row>
    <row r="114" spans="1:19" ht="15" customHeight="1" x14ac:dyDescent="0.25">
      <c r="A114" s="128"/>
      <c r="B114" s="125"/>
      <c r="C114" s="125"/>
      <c r="D114" s="125"/>
      <c r="E114" s="125"/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6"/>
    </row>
    <row r="115" spans="1:19" ht="15" customHeight="1" x14ac:dyDescent="0.25">
      <c r="A115" s="128"/>
      <c r="B115" s="125"/>
      <c r="C115" s="125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6"/>
    </row>
    <row r="116" spans="1:19" ht="15" customHeight="1" x14ac:dyDescent="0.25">
      <c r="A116" s="128"/>
      <c r="B116" s="125"/>
      <c r="C116" s="125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6"/>
    </row>
    <row r="117" spans="1:19" ht="15" customHeight="1" x14ac:dyDescent="0.25">
      <c r="A117" s="128"/>
      <c r="B117" s="125"/>
      <c r="C117" s="125"/>
      <c r="D117" s="125"/>
      <c r="E117" s="125"/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6"/>
    </row>
    <row r="118" spans="1:19" ht="15" customHeight="1" x14ac:dyDescent="0.25">
      <c r="A118" s="128"/>
      <c r="B118" s="125"/>
      <c r="C118" s="125"/>
      <c r="D118" s="125"/>
      <c r="E118" s="125"/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6"/>
    </row>
    <row r="119" spans="1:19" ht="15" customHeight="1" x14ac:dyDescent="0.25">
      <c r="A119" s="128"/>
      <c r="B119" s="125"/>
      <c r="C119" s="125"/>
      <c r="D119" s="125"/>
      <c r="E119" s="125"/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6"/>
    </row>
    <row r="120" spans="1:19" ht="15" customHeight="1" x14ac:dyDescent="0.25">
      <c r="A120" s="128"/>
      <c r="B120" s="125"/>
      <c r="C120" s="125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6"/>
    </row>
    <row r="121" spans="1:19" ht="15" customHeight="1" x14ac:dyDescent="0.25">
      <c r="A121" s="128"/>
      <c r="B121" s="125"/>
      <c r="C121" s="125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6"/>
    </row>
    <row r="122" spans="1:19" ht="15" customHeight="1" x14ac:dyDescent="0.25">
      <c r="A122" s="128"/>
      <c r="B122" s="125"/>
      <c r="C122" s="125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6"/>
    </row>
    <row r="123" spans="1:19" ht="15" customHeight="1" x14ac:dyDescent="0.25">
      <c r="A123" s="128"/>
      <c r="B123" s="125"/>
      <c r="C123" s="125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6"/>
    </row>
    <row r="124" spans="1:19" ht="15" customHeight="1" x14ac:dyDescent="0.25">
      <c r="A124" s="128"/>
      <c r="B124" s="125"/>
      <c r="C124" s="125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6"/>
    </row>
    <row r="125" spans="1:19" ht="15" customHeight="1" x14ac:dyDescent="0.25">
      <c r="A125" s="128"/>
      <c r="B125" s="125"/>
      <c r="C125" s="125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6"/>
    </row>
    <row r="126" spans="1:19" ht="15" customHeight="1" x14ac:dyDescent="0.25">
      <c r="A126" s="128"/>
      <c r="B126" s="125"/>
      <c r="C126" s="125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6"/>
    </row>
    <row r="127" spans="1:19" ht="15" customHeight="1" x14ac:dyDescent="0.25">
      <c r="A127" s="128"/>
      <c r="B127" s="125"/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6"/>
    </row>
    <row r="128" spans="1:19" ht="15" customHeight="1" x14ac:dyDescent="0.25">
      <c r="A128" s="128"/>
      <c r="B128" s="125"/>
      <c r="C128" s="125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6"/>
    </row>
    <row r="129" spans="1:27" ht="15" customHeight="1" x14ac:dyDescent="0.25">
      <c r="A129" s="128"/>
      <c r="B129" s="125"/>
      <c r="C129" s="125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6"/>
    </row>
    <row r="130" spans="1:27" ht="15" customHeight="1" x14ac:dyDescent="0.25">
      <c r="A130" s="128"/>
      <c r="B130" s="125"/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6"/>
    </row>
    <row r="131" spans="1:27" ht="15" customHeight="1" x14ac:dyDescent="0.25">
      <c r="A131" s="128"/>
      <c r="B131" s="125"/>
      <c r="C131" s="125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6"/>
    </row>
    <row r="132" spans="1:27" ht="15" customHeight="1" x14ac:dyDescent="0.25">
      <c r="A132" s="5"/>
      <c r="B132" s="125"/>
      <c r="C132" s="125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6"/>
    </row>
    <row r="133" spans="1:27" ht="15" customHeight="1" x14ac:dyDescent="0.25">
      <c r="A133" s="5"/>
      <c r="B133" s="125"/>
      <c r="C133" s="125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6"/>
    </row>
    <row r="134" spans="1:27" ht="15" customHeight="1" x14ac:dyDescent="0.25">
      <c r="A134" s="5"/>
      <c r="B134" s="125"/>
      <c r="C134" s="125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6"/>
    </row>
    <row r="135" spans="1:27" ht="15" customHeight="1" x14ac:dyDescent="0.25">
      <c r="A135" s="5"/>
      <c r="B135" s="125"/>
      <c r="C135" s="125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6"/>
    </row>
    <row r="136" spans="1:27" x14ac:dyDescent="0.25">
      <c r="A136" s="15"/>
      <c r="S136" s="6"/>
    </row>
    <row r="137" spans="1:27" ht="15" customHeight="1" x14ac:dyDescent="0.25">
      <c r="A137" s="14"/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6"/>
    </row>
    <row r="138" spans="1:27" ht="15" customHeight="1" x14ac:dyDescent="0.25">
      <c r="A138" s="14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6"/>
    </row>
    <row r="139" spans="1:27" ht="15" customHeight="1" x14ac:dyDescent="0.25">
      <c r="A139" s="14"/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6"/>
    </row>
    <row r="140" spans="1:27" ht="15" customHeight="1" x14ac:dyDescent="0.25">
      <c r="A140" s="80"/>
      <c r="B140" s="54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76"/>
    </row>
    <row r="141" spans="1:27" ht="15" customHeight="1" x14ac:dyDescent="0.25">
      <c r="A141" s="80"/>
      <c r="B141" s="54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76"/>
    </row>
    <row r="142" spans="1:27" ht="15" customHeight="1" x14ac:dyDescent="0.25">
      <c r="A142" s="83"/>
      <c r="B142" s="59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78"/>
    </row>
    <row r="143" spans="1:27" x14ac:dyDescent="0.25">
      <c r="G143" s="30"/>
      <c r="AA143" s="2"/>
    </row>
    <row r="144" spans="1:27" ht="15" customHeight="1" x14ac:dyDescent="0.25">
      <c r="G144" s="30"/>
      <c r="AA144" s="2"/>
    </row>
    <row r="145" spans="7:27" x14ac:dyDescent="0.25">
      <c r="G145" s="30"/>
      <c r="AA145" s="2"/>
    </row>
    <row r="146" spans="7:27" x14ac:dyDescent="0.25">
      <c r="G146" s="30"/>
      <c r="AA146" s="2"/>
    </row>
    <row r="147" spans="7:27" x14ac:dyDescent="0.25">
      <c r="G147" s="30"/>
      <c r="AA147" s="2"/>
    </row>
    <row r="148" spans="7:27" x14ac:dyDescent="0.25">
      <c r="G148" s="30"/>
      <c r="AA148" s="2"/>
    </row>
    <row r="149" spans="7:27" x14ac:dyDescent="0.25">
      <c r="G149" s="30"/>
      <c r="AA149" s="2"/>
    </row>
    <row r="150" spans="7:27" x14ac:dyDescent="0.25">
      <c r="G150" s="30"/>
      <c r="AA150" s="2"/>
    </row>
    <row r="151" spans="7:27" x14ac:dyDescent="0.25">
      <c r="G151" s="30"/>
      <c r="AA151" s="2"/>
    </row>
    <row r="152" spans="7:27" x14ac:dyDescent="0.25">
      <c r="G152" s="30"/>
      <c r="AA152" s="2"/>
    </row>
    <row r="153" spans="7:27" x14ac:dyDescent="0.25">
      <c r="G153" s="30"/>
      <c r="AA153" s="2"/>
    </row>
    <row r="154" spans="7:27" x14ac:dyDescent="0.25">
      <c r="G154" s="30"/>
      <c r="AA154" s="2"/>
    </row>
    <row r="155" spans="7:27" x14ac:dyDescent="0.25">
      <c r="G155" s="30"/>
      <c r="AA155" s="2"/>
    </row>
    <row r="156" spans="7:27" x14ac:dyDescent="0.25">
      <c r="G156" s="30"/>
      <c r="AA156" s="2"/>
    </row>
    <row r="157" spans="7:27" x14ac:dyDescent="0.25">
      <c r="G157" s="30"/>
      <c r="AA157" s="2"/>
    </row>
    <row r="158" spans="7:27" x14ac:dyDescent="0.25">
      <c r="G158" s="30"/>
      <c r="AA158" s="2"/>
    </row>
    <row r="159" spans="7:27" x14ac:dyDescent="0.25">
      <c r="G159" s="30"/>
      <c r="AA159" s="2"/>
    </row>
    <row r="160" spans="7:27" x14ac:dyDescent="0.25">
      <c r="G160" s="30"/>
      <c r="AA160" s="2"/>
    </row>
    <row r="161" spans="7:27" x14ac:dyDescent="0.25">
      <c r="G161" s="30"/>
      <c r="AA161" s="2"/>
    </row>
    <row r="162" spans="7:27" x14ac:dyDescent="0.25">
      <c r="G162" s="30"/>
      <c r="AA162" s="2"/>
    </row>
    <row r="163" spans="7:27" x14ac:dyDescent="0.25">
      <c r="G163" s="30"/>
      <c r="AA163" s="2"/>
    </row>
    <row r="164" spans="7:27" x14ac:dyDescent="0.25">
      <c r="G164" s="30"/>
      <c r="AA164" s="2"/>
    </row>
    <row r="165" spans="7:27" x14ac:dyDescent="0.25">
      <c r="G165" s="30"/>
      <c r="AA165" s="2"/>
    </row>
    <row r="166" spans="7:27" x14ac:dyDescent="0.25">
      <c r="G166" s="30"/>
      <c r="AA166" s="2"/>
    </row>
    <row r="167" spans="7:27" x14ac:dyDescent="0.25">
      <c r="G167" s="30"/>
      <c r="AA167" s="2"/>
    </row>
    <row r="168" spans="7:27" x14ac:dyDescent="0.25">
      <c r="G168" s="30"/>
      <c r="AA168" s="2"/>
    </row>
    <row r="169" spans="7:27" x14ac:dyDescent="0.25">
      <c r="G169" s="30"/>
      <c r="AA169" s="2"/>
    </row>
    <row r="170" spans="7:27" x14ac:dyDescent="0.25">
      <c r="G170" s="30"/>
      <c r="AA170" s="2"/>
    </row>
    <row r="171" spans="7:27" x14ac:dyDescent="0.25">
      <c r="G171" s="30"/>
      <c r="AA171" s="2"/>
    </row>
    <row r="172" spans="7:27" x14ac:dyDescent="0.25">
      <c r="G172" s="30"/>
      <c r="AA172" s="2"/>
    </row>
    <row r="173" spans="7:27" x14ac:dyDescent="0.25">
      <c r="G173" s="30"/>
      <c r="AA173" s="2"/>
    </row>
    <row r="174" spans="7:27" x14ac:dyDescent="0.25">
      <c r="G174" s="30"/>
      <c r="AA174" s="2"/>
    </row>
    <row r="175" spans="7:27" x14ac:dyDescent="0.25">
      <c r="G175" s="30"/>
      <c r="AA175" s="2"/>
    </row>
    <row r="176" spans="7:27" x14ac:dyDescent="0.25">
      <c r="G176" s="30"/>
      <c r="AA176" s="2"/>
    </row>
    <row r="177" spans="7:27" x14ac:dyDescent="0.25">
      <c r="G177" s="30"/>
      <c r="AA177" s="2"/>
    </row>
    <row r="178" spans="7:27" x14ac:dyDescent="0.25">
      <c r="G178" s="30"/>
      <c r="AA178" s="2"/>
    </row>
    <row r="179" spans="7:27" x14ac:dyDescent="0.25">
      <c r="G179" s="30"/>
      <c r="AA179" s="2"/>
    </row>
    <row r="180" spans="7:27" x14ac:dyDescent="0.25">
      <c r="G180" s="30"/>
      <c r="AA180" s="2"/>
    </row>
    <row r="181" spans="7:27" x14ac:dyDescent="0.25">
      <c r="G181" s="30"/>
      <c r="AA181" s="2"/>
    </row>
    <row r="182" spans="7:27" ht="15" customHeight="1" x14ac:dyDescent="0.25">
      <c r="G182" s="30"/>
      <c r="AA182" s="2"/>
    </row>
    <row r="183" spans="7:27" ht="15" customHeight="1" x14ac:dyDescent="0.25">
      <c r="G183" s="30"/>
      <c r="AA183" s="2"/>
    </row>
    <row r="184" spans="7:27" ht="15" customHeight="1" x14ac:dyDescent="0.25">
      <c r="G184" s="30"/>
      <c r="AA184" s="2"/>
    </row>
    <row r="185" spans="7:27" ht="15" customHeight="1" x14ac:dyDescent="0.25">
      <c r="G185" s="30"/>
      <c r="AA185" s="2"/>
    </row>
    <row r="186" spans="7:27" ht="15" customHeight="1" x14ac:dyDescent="0.25">
      <c r="G186" s="30"/>
      <c r="AA186" s="2"/>
    </row>
    <row r="187" spans="7:27" ht="15" customHeight="1" x14ac:dyDescent="0.25">
      <c r="G187" s="30"/>
      <c r="AA187" s="2"/>
    </row>
    <row r="188" spans="7:27" x14ac:dyDescent="0.25">
      <c r="G188" s="30"/>
      <c r="AA188" s="2"/>
    </row>
    <row r="189" spans="7:27" ht="15" customHeight="1" x14ac:dyDescent="0.25">
      <c r="G189" s="30"/>
      <c r="AA189" s="2"/>
    </row>
    <row r="190" spans="7:27" x14ac:dyDescent="0.25">
      <c r="G190" s="30"/>
      <c r="AA190" s="2"/>
    </row>
    <row r="191" spans="7:27" x14ac:dyDescent="0.25">
      <c r="G191" s="30"/>
      <c r="AA191" s="2"/>
    </row>
    <row r="192" spans="7:27" x14ac:dyDescent="0.25">
      <c r="G192" s="30"/>
      <c r="AA192" s="2"/>
    </row>
    <row r="193" spans="7:27" x14ac:dyDescent="0.25">
      <c r="G193" s="30"/>
      <c r="AA193" s="2"/>
    </row>
    <row r="194" spans="7:27" x14ac:dyDescent="0.25">
      <c r="G194" s="30"/>
      <c r="AA194" s="2"/>
    </row>
    <row r="195" spans="7:27" x14ac:dyDescent="0.25">
      <c r="G195" s="30"/>
      <c r="AA195" s="2"/>
    </row>
    <row r="196" spans="7:27" x14ac:dyDescent="0.25">
      <c r="G196" s="30"/>
      <c r="AA196" s="2"/>
    </row>
    <row r="197" spans="7:27" x14ac:dyDescent="0.25">
      <c r="G197" s="30"/>
      <c r="AA197" s="2"/>
    </row>
    <row r="198" spans="7:27" x14ac:dyDescent="0.25">
      <c r="G198" s="30"/>
      <c r="AA198" s="2"/>
    </row>
    <row r="199" spans="7:27" x14ac:dyDescent="0.25">
      <c r="G199" s="30"/>
      <c r="AA199" s="2"/>
    </row>
    <row r="200" spans="7:27" x14ac:dyDescent="0.25">
      <c r="G200" s="30"/>
      <c r="AA200" s="2"/>
    </row>
    <row r="201" spans="7:27" x14ac:dyDescent="0.25">
      <c r="G201" s="30"/>
      <c r="AA201" s="2"/>
    </row>
    <row r="202" spans="7:27" x14ac:dyDescent="0.25">
      <c r="G202" s="30"/>
      <c r="AA202" s="2"/>
    </row>
    <row r="203" spans="7:27" x14ac:dyDescent="0.25">
      <c r="G203" s="30"/>
      <c r="AA203" s="2"/>
    </row>
    <row r="204" spans="7:27" x14ac:dyDescent="0.25">
      <c r="G204" s="30"/>
      <c r="AA204" s="2"/>
    </row>
    <row r="205" spans="7:27" x14ac:dyDescent="0.25">
      <c r="G205" s="30"/>
      <c r="AA205" s="2"/>
    </row>
    <row r="206" spans="7:27" x14ac:dyDescent="0.25">
      <c r="G206" s="30"/>
      <c r="AA206" s="2"/>
    </row>
    <row r="207" spans="7:27" x14ac:dyDescent="0.25">
      <c r="G207" s="30"/>
      <c r="AA207" s="2"/>
    </row>
    <row r="208" spans="7:27" x14ac:dyDescent="0.25">
      <c r="G208" s="30"/>
      <c r="AA208" s="2"/>
    </row>
    <row r="209" spans="7:27" x14ac:dyDescent="0.25">
      <c r="G209" s="30"/>
      <c r="AA209" s="2"/>
    </row>
    <row r="210" spans="7:27" x14ac:dyDescent="0.25">
      <c r="G210" s="30"/>
      <c r="AA210" s="2"/>
    </row>
    <row r="211" spans="7:27" x14ac:dyDescent="0.25">
      <c r="G211" s="30"/>
      <c r="AA211" s="2"/>
    </row>
    <row r="212" spans="7:27" x14ac:dyDescent="0.25">
      <c r="G212" s="30"/>
      <c r="AA212" s="2"/>
    </row>
    <row r="213" spans="7:27" x14ac:dyDescent="0.25">
      <c r="G213" s="30"/>
      <c r="AA213" s="2"/>
    </row>
    <row r="214" spans="7:27" x14ac:dyDescent="0.25">
      <c r="G214" s="30"/>
      <c r="AA214" s="2"/>
    </row>
    <row r="215" spans="7:27" x14ac:dyDescent="0.25">
      <c r="G215" s="30"/>
      <c r="AA215" s="2"/>
    </row>
    <row r="216" spans="7:27" x14ac:dyDescent="0.25">
      <c r="G216" s="30"/>
      <c r="AA216" s="2"/>
    </row>
    <row r="217" spans="7:27" x14ac:dyDescent="0.25">
      <c r="G217" s="30"/>
      <c r="AA217" s="2"/>
    </row>
    <row r="218" spans="7:27" x14ac:dyDescent="0.25">
      <c r="G218" s="30"/>
      <c r="AA218" s="2"/>
    </row>
    <row r="219" spans="7:27" x14ac:dyDescent="0.25">
      <c r="G219" s="30"/>
      <c r="AA219" s="2"/>
    </row>
    <row r="220" spans="7:27" x14ac:dyDescent="0.25">
      <c r="G220" s="30"/>
      <c r="AA220" s="2"/>
    </row>
    <row r="221" spans="7:27" x14ac:dyDescent="0.25">
      <c r="G221" s="30"/>
      <c r="AA221" s="2"/>
    </row>
    <row r="222" spans="7:27" x14ac:dyDescent="0.25">
      <c r="G222" s="30"/>
      <c r="AA222" s="2"/>
    </row>
    <row r="223" spans="7:27" x14ac:dyDescent="0.25">
      <c r="G223" s="30"/>
      <c r="AA223" s="2"/>
    </row>
    <row r="224" spans="7:27" x14ac:dyDescent="0.25">
      <c r="G224" s="30"/>
      <c r="AA224" s="2"/>
    </row>
    <row r="225" spans="7:27" x14ac:dyDescent="0.25">
      <c r="G225" s="30"/>
      <c r="AA225" s="2"/>
    </row>
    <row r="226" spans="7:27" x14ac:dyDescent="0.25">
      <c r="G226" s="30"/>
      <c r="AA226" s="2"/>
    </row>
    <row r="227" spans="7:27" ht="15" customHeight="1" x14ac:dyDescent="0.25">
      <c r="G227" s="30"/>
      <c r="AA227" s="2"/>
    </row>
    <row r="228" spans="7:27" ht="15" customHeight="1" x14ac:dyDescent="0.25">
      <c r="G228" s="30"/>
      <c r="AA228" s="2"/>
    </row>
    <row r="229" spans="7:27" ht="15" customHeight="1" x14ac:dyDescent="0.25">
      <c r="G229" s="30"/>
      <c r="AA229" s="2"/>
    </row>
    <row r="230" spans="7:27" ht="15" customHeight="1" x14ac:dyDescent="0.25">
      <c r="G230" s="30"/>
      <c r="AA230" s="2"/>
    </row>
    <row r="231" spans="7:27" ht="15" customHeight="1" x14ac:dyDescent="0.25">
      <c r="G231" s="30"/>
      <c r="AA231" s="2"/>
    </row>
    <row r="232" spans="7:27" ht="15" customHeight="1" x14ac:dyDescent="0.25">
      <c r="G232" s="30"/>
      <c r="AA232" s="2"/>
    </row>
    <row r="233" spans="7:27" x14ac:dyDescent="0.25">
      <c r="G233" s="30"/>
      <c r="AA233" s="2"/>
    </row>
    <row r="234" spans="7:27" ht="15" customHeight="1" x14ac:dyDescent="0.25">
      <c r="G234" s="30"/>
      <c r="AA234" s="2"/>
    </row>
    <row r="235" spans="7:27" x14ac:dyDescent="0.25">
      <c r="G235" s="30"/>
      <c r="AA235" s="2"/>
    </row>
    <row r="236" spans="7:27" x14ac:dyDescent="0.25">
      <c r="G236" s="30"/>
      <c r="AA236" s="2"/>
    </row>
    <row r="237" spans="7:27" x14ac:dyDescent="0.25">
      <c r="G237" s="30"/>
      <c r="AA237" s="2"/>
    </row>
    <row r="238" spans="7:27" x14ac:dyDescent="0.25">
      <c r="G238" s="30"/>
      <c r="AA238" s="2"/>
    </row>
    <row r="239" spans="7:27" x14ac:dyDescent="0.25">
      <c r="G239" s="30"/>
      <c r="AA239" s="2"/>
    </row>
    <row r="240" spans="7:27" x14ac:dyDescent="0.25">
      <c r="G240" s="30"/>
      <c r="AA240" s="2"/>
    </row>
    <row r="241" spans="7:27" x14ac:dyDescent="0.25">
      <c r="G241" s="30"/>
      <c r="AA241" s="2"/>
    </row>
    <row r="242" spans="7:27" x14ac:dyDescent="0.25">
      <c r="G242" s="30"/>
      <c r="AA242" s="2"/>
    </row>
    <row r="243" spans="7:27" x14ac:dyDescent="0.25">
      <c r="G243" s="30"/>
      <c r="AA243" s="2"/>
    </row>
    <row r="244" spans="7:27" x14ac:dyDescent="0.25">
      <c r="G244" s="30"/>
      <c r="AA244" s="2"/>
    </row>
    <row r="245" spans="7:27" x14ac:dyDescent="0.25">
      <c r="G245" s="30"/>
      <c r="AA245" s="2"/>
    </row>
    <row r="246" spans="7:27" x14ac:dyDescent="0.25">
      <c r="G246" s="30"/>
      <c r="AA246" s="2"/>
    </row>
    <row r="247" spans="7:27" x14ac:dyDescent="0.25">
      <c r="G247" s="30"/>
      <c r="AA247" s="2"/>
    </row>
    <row r="248" spans="7:27" x14ac:dyDescent="0.25">
      <c r="G248" s="30"/>
      <c r="AA248" s="2"/>
    </row>
    <row r="249" spans="7:27" x14ac:dyDescent="0.25">
      <c r="G249" s="30"/>
      <c r="AA249" s="2"/>
    </row>
    <row r="250" spans="7:27" x14ac:dyDescent="0.25">
      <c r="G250" s="30"/>
      <c r="AA250" s="2"/>
    </row>
    <row r="251" spans="7:27" x14ac:dyDescent="0.25">
      <c r="G251" s="30"/>
      <c r="AA251" s="2"/>
    </row>
    <row r="252" spans="7:27" x14ac:dyDescent="0.25">
      <c r="G252" s="30"/>
      <c r="AA252" s="2"/>
    </row>
    <row r="253" spans="7:27" x14ac:dyDescent="0.25">
      <c r="G253" s="30"/>
      <c r="AA253" s="2"/>
    </row>
    <row r="254" spans="7:27" x14ac:dyDescent="0.25">
      <c r="G254" s="30"/>
      <c r="AA254" s="2"/>
    </row>
    <row r="255" spans="7:27" x14ac:dyDescent="0.25">
      <c r="G255" s="30"/>
      <c r="AA255" s="2"/>
    </row>
    <row r="256" spans="7:27" x14ac:dyDescent="0.25">
      <c r="G256" s="30"/>
      <c r="AA256" s="2"/>
    </row>
    <row r="257" spans="7:27" x14ac:dyDescent="0.25">
      <c r="G257" s="30"/>
      <c r="AA257" s="2"/>
    </row>
    <row r="258" spans="7:27" x14ac:dyDescent="0.25">
      <c r="G258" s="30"/>
      <c r="AA258" s="2"/>
    </row>
    <row r="259" spans="7:27" x14ac:dyDescent="0.25">
      <c r="G259" s="30"/>
      <c r="AA259" s="2"/>
    </row>
    <row r="260" spans="7:27" x14ac:dyDescent="0.25">
      <c r="G260" s="30"/>
      <c r="AA260" s="2"/>
    </row>
    <row r="261" spans="7:27" x14ac:dyDescent="0.25">
      <c r="G261" s="30"/>
      <c r="AA261" s="2"/>
    </row>
    <row r="262" spans="7:27" x14ac:dyDescent="0.25">
      <c r="G262" s="30"/>
      <c r="AA262" s="2"/>
    </row>
    <row r="263" spans="7:27" x14ac:dyDescent="0.25">
      <c r="G263" s="30"/>
      <c r="AA263" s="2"/>
    </row>
    <row r="264" spans="7:27" x14ac:dyDescent="0.25">
      <c r="G264" s="30"/>
      <c r="AA264" s="2"/>
    </row>
    <row r="265" spans="7:27" x14ac:dyDescent="0.25">
      <c r="G265" s="30"/>
      <c r="AA265" s="2"/>
    </row>
    <row r="266" spans="7:27" x14ac:dyDescent="0.25">
      <c r="G266" s="30"/>
      <c r="AA266" s="2"/>
    </row>
    <row r="267" spans="7:27" x14ac:dyDescent="0.25">
      <c r="G267" s="30"/>
      <c r="AA267" s="2"/>
    </row>
    <row r="268" spans="7:27" x14ac:dyDescent="0.25">
      <c r="G268" s="30"/>
      <c r="AA268" s="2"/>
    </row>
    <row r="269" spans="7:27" x14ac:dyDescent="0.25">
      <c r="G269" s="30"/>
      <c r="AA269" s="2"/>
    </row>
    <row r="270" spans="7:27" x14ac:dyDescent="0.25">
      <c r="G270" s="30"/>
      <c r="AA270" s="2"/>
    </row>
    <row r="271" spans="7:27" x14ac:dyDescent="0.25">
      <c r="G271" s="30"/>
      <c r="AA271" s="2"/>
    </row>
    <row r="272" spans="7:27" x14ac:dyDescent="0.25">
      <c r="G272" s="30"/>
      <c r="AA272" s="2"/>
    </row>
    <row r="273" spans="7:27" x14ac:dyDescent="0.25">
      <c r="G273" s="30"/>
      <c r="AA273" s="2"/>
    </row>
  </sheetData>
  <mergeCells count="12">
    <mergeCell ref="B11:R49"/>
    <mergeCell ref="A54:A92"/>
    <mergeCell ref="B54:R92"/>
    <mergeCell ref="B97:R135"/>
    <mergeCell ref="A99:A131"/>
    <mergeCell ref="E1:O3"/>
    <mergeCell ref="E4:E5"/>
    <mergeCell ref="F4:O5"/>
    <mergeCell ref="E6:E7"/>
    <mergeCell ref="F6:O7"/>
    <mergeCell ref="E8:E9"/>
    <mergeCell ref="F8:O9"/>
  </mergeCells>
  <pageMargins left="0.19685039370078741" right="0.19685039370078741" top="0.19685039370078741" bottom="0.19685039370078741" header="0" footer="0.35433070866141736"/>
  <pageSetup paperSize="9" scale="39" fitToHeight="3" orientation="portrait" horizontalDpi="1200" verticalDpi="1200" r:id="rId1"/>
  <headerFooter alignWithMargins="0">
    <oddFooter xml:space="preserve">&amp;C&amp;18Tooshop | M. Santos | &amp;D&amp;R&amp;18Página &amp;P de &amp;N         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273"/>
  <sheetViews>
    <sheetView view="pageBreakPreview" zoomScale="40" zoomScaleNormal="70" zoomScaleSheetLayoutView="40" workbookViewId="0">
      <selection activeCell="T57" sqref="T57"/>
    </sheetView>
  </sheetViews>
  <sheetFormatPr defaultRowHeight="15" x14ac:dyDescent="0.25"/>
  <cols>
    <col min="1" max="1" width="4.7109375" style="2" customWidth="1"/>
    <col min="2" max="2" width="9.140625" style="2"/>
    <col min="3" max="4" width="15.7109375" style="2" customWidth="1"/>
    <col min="5" max="5" width="30.7109375" style="2" customWidth="1"/>
    <col min="6" max="6" width="18.7109375" style="2" customWidth="1"/>
    <col min="7" max="13" width="9.140625" style="2"/>
    <col min="14" max="14" width="25.7109375" style="2" customWidth="1"/>
    <col min="15" max="15" width="30.7109375" style="2" customWidth="1"/>
    <col min="16" max="17" width="15.7109375" style="2" customWidth="1"/>
    <col min="18" max="18" width="9.140625" style="2" customWidth="1"/>
    <col min="19" max="19" width="4.5703125" style="2" customWidth="1"/>
    <col min="20" max="20" width="50.140625" style="2" customWidth="1"/>
    <col min="21" max="21" width="6.85546875" style="2" customWidth="1"/>
    <col min="22" max="22" width="6.5703125" style="2" customWidth="1"/>
    <col min="23" max="23" width="6.7109375" style="2" customWidth="1"/>
    <col min="24" max="24" width="7.28515625" style="2" customWidth="1"/>
    <col min="25" max="25" width="9.140625" style="2"/>
    <col min="26" max="26" width="39" style="2" bestFit="1" customWidth="1"/>
    <col min="27" max="27" width="13.5703125" style="30" bestFit="1" customWidth="1"/>
    <col min="28" max="28" width="10.42578125" style="2" bestFit="1" customWidth="1"/>
    <col min="29" max="29" width="19.42578125" style="2" bestFit="1" customWidth="1"/>
    <col min="30" max="30" width="5.42578125" style="2" bestFit="1" customWidth="1"/>
    <col min="31" max="16384" width="9.140625" style="2"/>
  </cols>
  <sheetData>
    <row r="1" spans="1:30" ht="15" customHeight="1" x14ac:dyDescent="0.25">
      <c r="A1" s="13"/>
      <c r="B1" s="3"/>
      <c r="C1" s="3"/>
      <c r="D1" s="3"/>
      <c r="E1" s="116" t="s">
        <v>3</v>
      </c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3"/>
      <c r="Q1" s="3"/>
      <c r="R1" s="3"/>
      <c r="S1" s="4"/>
      <c r="T1" s="10"/>
      <c r="Z1" s="49" t="s">
        <v>4</v>
      </c>
      <c r="AA1" s="88"/>
      <c r="AB1" s="102"/>
      <c r="AC1" s="103"/>
      <c r="AD1" s="104"/>
    </row>
    <row r="2" spans="1:30" ht="15" customHeight="1" x14ac:dyDescent="0.25">
      <c r="A2" s="14"/>
      <c r="B2" s="56"/>
      <c r="C2" s="56"/>
      <c r="D2" s="56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58"/>
      <c r="Q2" s="56"/>
      <c r="R2" s="56"/>
      <c r="S2" s="6"/>
      <c r="Z2" s="50" t="s">
        <v>477</v>
      </c>
      <c r="AA2" s="89"/>
      <c r="AB2" s="95"/>
      <c r="AC2" s="95"/>
      <c r="AD2" s="105"/>
    </row>
    <row r="3" spans="1:30" ht="15" customHeight="1" x14ac:dyDescent="0.25">
      <c r="A3" s="14"/>
      <c r="B3" s="56"/>
      <c r="C3" s="56"/>
      <c r="D3" s="56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58"/>
      <c r="Q3" s="56"/>
      <c r="R3" s="56"/>
      <c r="S3" s="6"/>
      <c r="Z3" s="50" t="s">
        <v>476</v>
      </c>
      <c r="AA3" s="89">
        <v>1</v>
      </c>
      <c r="AB3" s="95"/>
      <c r="AC3" s="95"/>
      <c r="AD3" s="105"/>
    </row>
    <row r="4" spans="1:30" ht="15" customHeight="1" x14ac:dyDescent="0.25">
      <c r="A4" s="14"/>
      <c r="B4" s="56"/>
      <c r="C4" s="56"/>
      <c r="D4" s="56"/>
      <c r="E4" s="129" t="str">
        <f>"Projeto: "</f>
        <v xml:space="preserve">Projeto: </v>
      </c>
      <c r="F4" s="131" t="str">
        <f>T7</f>
        <v>MQB_A1</v>
      </c>
      <c r="G4" s="131"/>
      <c r="H4" s="131"/>
      <c r="I4" s="131"/>
      <c r="J4" s="131"/>
      <c r="K4" s="131"/>
      <c r="L4" s="131"/>
      <c r="M4" s="131"/>
      <c r="N4" s="131"/>
      <c r="O4" s="132"/>
      <c r="P4" s="58"/>
      <c r="Q4" s="56"/>
      <c r="R4" s="56"/>
      <c r="S4" s="6"/>
      <c r="Z4" s="50" t="s">
        <v>218</v>
      </c>
      <c r="AA4" s="89"/>
      <c r="AB4" s="95"/>
      <c r="AC4" s="95"/>
      <c r="AD4" s="105"/>
    </row>
    <row r="5" spans="1:30" ht="15" customHeight="1" x14ac:dyDescent="0.25">
      <c r="A5" s="80"/>
      <c r="B5" s="54"/>
      <c r="C5" s="55"/>
      <c r="D5" s="55"/>
      <c r="E5" s="130"/>
      <c r="F5" s="133"/>
      <c r="G5" s="133"/>
      <c r="H5" s="133"/>
      <c r="I5" s="133"/>
      <c r="J5" s="133"/>
      <c r="K5" s="133"/>
      <c r="L5" s="133"/>
      <c r="M5" s="133"/>
      <c r="N5" s="133"/>
      <c r="O5" s="134"/>
      <c r="P5" s="58"/>
      <c r="Q5" s="55"/>
      <c r="R5" s="55"/>
      <c r="S5" s="6"/>
      <c r="Z5" s="50" t="s">
        <v>475</v>
      </c>
      <c r="AA5" s="89"/>
      <c r="AB5" s="95"/>
      <c r="AC5" s="95"/>
      <c r="AD5" s="105"/>
    </row>
    <row r="6" spans="1:30" ht="15" customHeight="1" x14ac:dyDescent="0.25">
      <c r="A6" s="80"/>
      <c r="B6" s="54"/>
      <c r="C6" s="55"/>
      <c r="D6" s="55"/>
      <c r="E6" s="135" t="str">
        <f>"Peça: "</f>
        <v xml:space="preserve">Peça: </v>
      </c>
      <c r="F6" s="136" t="str">
        <f>T8</f>
        <v>5Q0.803.105</v>
      </c>
      <c r="G6" s="136"/>
      <c r="H6" s="136"/>
      <c r="I6" s="136"/>
      <c r="J6" s="136"/>
      <c r="K6" s="136"/>
      <c r="L6" s="136"/>
      <c r="M6" s="136"/>
      <c r="N6" s="136"/>
      <c r="O6" s="137"/>
      <c r="P6" s="58"/>
      <c r="Q6" s="55"/>
      <c r="R6" s="55"/>
      <c r="S6" s="6"/>
      <c r="T6" s="17" t="s">
        <v>456</v>
      </c>
      <c r="Z6" s="50" t="s">
        <v>249</v>
      </c>
      <c r="AA6" s="89"/>
      <c r="AB6" s="95"/>
      <c r="AC6" s="95"/>
      <c r="AD6" s="105"/>
    </row>
    <row r="7" spans="1:30" ht="15" customHeight="1" x14ac:dyDescent="0.25">
      <c r="A7" s="80"/>
      <c r="B7" s="54"/>
      <c r="C7" s="55"/>
      <c r="D7" s="55"/>
      <c r="E7" s="130"/>
      <c r="F7" s="133"/>
      <c r="G7" s="133"/>
      <c r="H7" s="133"/>
      <c r="I7" s="133"/>
      <c r="J7" s="133"/>
      <c r="K7" s="133"/>
      <c r="L7" s="133"/>
      <c r="M7" s="133"/>
      <c r="N7" s="133"/>
      <c r="O7" s="134"/>
      <c r="P7" s="55"/>
      <c r="Q7" s="55"/>
      <c r="R7" s="55"/>
      <c r="S7" s="6"/>
      <c r="T7" s="53" t="s">
        <v>75</v>
      </c>
      <c r="Z7" s="50" t="s">
        <v>2</v>
      </c>
      <c r="AA7" s="89">
        <f>SUM(AA2:AA6)</f>
        <v>1</v>
      </c>
      <c r="AB7" s="95">
        <f>SUM(AB2:AB6)</f>
        <v>0</v>
      </c>
      <c r="AC7" s="95"/>
      <c r="AD7" s="105"/>
    </row>
    <row r="8" spans="1:30" ht="15" customHeight="1" x14ac:dyDescent="0.25">
      <c r="A8" s="15"/>
      <c r="E8" s="135" t="str">
        <f>"Ano: "</f>
        <v xml:space="preserve">Ano: </v>
      </c>
      <c r="F8" s="136">
        <f>T9</f>
        <v>2017</v>
      </c>
      <c r="G8" s="136"/>
      <c r="H8" s="136"/>
      <c r="I8" s="136"/>
      <c r="J8" s="136"/>
      <c r="K8" s="136"/>
      <c r="L8" s="136"/>
      <c r="M8" s="136"/>
      <c r="N8" s="136"/>
      <c r="O8" s="137"/>
      <c r="S8" s="6"/>
      <c r="T8" s="2" t="s">
        <v>90</v>
      </c>
      <c r="Z8" s="48" t="s">
        <v>5</v>
      </c>
      <c r="AA8" s="90"/>
      <c r="AB8" s="106"/>
      <c r="AC8" s="106"/>
      <c r="AD8" s="107"/>
    </row>
    <row r="9" spans="1:30" ht="15" customHeight="1" x14ac:dyDescent="0.25">
      <c r="A9" s="81"/>
      <c r="B9" s="57"/>
      <c r="C9" s="57"/>
      <c r="D9" s="57"/>
      <c r="E9" s="130"/>
      <c r="F9" s="133"/>
      <c r="G9" s="133"/>
      <c r="H9" s="133"/>
      <c r="I9" s="133"/>
      <c r="J9" s="133"/>
      <c r="K9" s="133"/>
      <c r="L9" s="133"/>
      <c r="M9" s="133"/>
      <c r="N9" s="133"/>
      <c r="O9" s="134"/>
      <c r="P9" s="57"/>
      <c r="Q9" s="57"/>
      <c r="R9" s="57"/>
      <c r="S9" s="6"/>
      <c r="T9" s="2">
        <v>2017</v>
      </c>
      <c r="Z9" s="44" t="s">
        <v>8</v>
      </c>
      <c r="AA9" s="91"/>
      <c r="AB9" s="108"/>
      <c r="AC9" s="108"/>
      <c r="AD9" s="109"/>
    </row>
    <row r="10" spans="1:30" x14ac:dyDescent="0.25">
      <c r="A10" s="81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6"/>
      <c r="Z10" s="44" t="s">
        <v>7</v>
      </c>
      <c r="AA10" s="91"/>
      <c r="AB10" s="108"/>
      <c r="AC10" s="108"/>
      <c r="AD10" s="109"/>
    </row>
    <row r="11" spans="1:30" ht="15" customHeight="1" x14ac:dyDescent="0.25">
      <c r="A11" s="81"/>
      <c r="B11" s="118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6"/>
      <c r="Z11" s="44" t="s">
        <v>41</v>
      </c>
      <c r="AA11" s="91"/>
      <c r="AB11" s="108"/>
      <c r="AC11" s="108"/>
      <c r="AD11" s="109"/>
    </row>
    <row r="12" spans="1:30" ht="15" customHeight="1" x14ac:dyDescent="0.25">
      <c r="A12" s="81"/>
      <c r="B12" s="118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6"/>
      <c r="Z12" s="44" t="s">
        <v>40</v>
      </c>
      <c r="AA12" s="91"/>
      <c r="AB12" s="108"/>
      <c r="AC12" s="108"/>
      <c r="AD12" s="109"/>
    </row>
    <row r="13" spans="1:30" ht="15" customHeight="1" x14ac:dyDescent="0.25">
      <c r="A13" s="81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6"/>
      <c r="T13" s="12"/>
      <c r="Z13" s="44" t="s">
        <v>1</v>
      </c>
      <c r="AA13" s="91"/>
      <c r="AB13" s="108"/>
      <c r="AC13" s="108"/>
      <c r="AD13" s="109"/>
    </row>
    <row r="14" spans="1:30" ht="15" customHeight="1" x14ac:dyDescent="0.25">
      <c r="A14" s="81"/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6"/>
      <c r="T14" s="11"/>
      <c r="Z14" s="96" t="s">
        <v>356</v>
      </c>
      <c r="AA14" s="94"/>
      <c r="AB14" s="110"/>
      <c r="AC14" s="110"/>
      <c r="AD14" s="111"/>
    </row>
    <row r="15" spans="1:30" ht="15" customHeight="1" x14ac:dyDescent="0.25">
      <c r="A15" s="81"/>
      <c r="B15" s="118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6"/>
      <c r="Z15" s="45" t="s">
        <v>353</v>
      </c>
      <c r="AA15" s="98"/>
      <c r="AB15" s="99"/>
      <c r="AC15" s="100"/>
      <c r="AD15" s="101"/>
    </row>
    <row r="16" spans="1:30" ht="15" customHeight="1" x14ac:dyDescent="0.25">
      <c r="A16" s="81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6"/>
      <c r="Z16" s="45" t="s">
        <v>185</v>
      </c>
      <c r="AA16" s="98"/>
      <c r="AB16" s="99"/>
      <c r="AC16" s="100"/>
      <c r="AD16" s="101"/>
    </row>
    <row r="17" spans="1:30" x14ac:dyDescent="0.25">
      <c r="A17" s="81"/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6"/>
      <c r="Z17" s="45" t="s">
        <v>210</v>
      </c>
      <c r="AA17" s="98"/>
      <c r="AB17" s="99"/>
      <c r="AC17" s="100"/>
      <c r="AD17" s="101"/>
    </row>
    <row r="18" spans="1:30" x14ac:dyDescent="0.25">
      <c r="A18" s="81"/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6"/>
      <c r="Z18" s="45" t="s">
        <v>354</v>
      </c>
      <c r="AA18" s="98"/>
      <c r="AB18" s="99"/>
      <c r="AC18" s="100"/>
      <c r="AD18" s="101"/>
    </row>
    <row r="19" spans="1:30" x14ac:dyDescent="0.25">
      <c r="A19" s="81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6"/>
      <c r="Z19" s="45" t="s">
        <v>46</v>
      </c>
      <c r="AA19" s="98"/>
      <c r="AB19" s="99"/>
      <c r="AC19" s="100"/>
      <c r="AD19" s="101"/>
    </row>
    <row r="20" spans="1:30" x14ac:dyDescent="0.25">
      <c r="A20" s="81"/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6"/>
      <c r="Z20" s="45" t="s">
        <v>204</v>
      </c>
      <c r="AA20" s="98"/>
      <c r="AB20" s="99"/>
      <c r="AC20" s="100"/>
      <c r="AD20" s="101"/>
    </row>
    <row r="21" spans="1:30" x14ac:dyDescent="0.25">
      <c r="A21" s="81"/>
      <c r="B21" s="118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6"/>
      <c r="Z21" s="45" t="s">
        <v>143</v>
      </c>
      <c r="AA21" s="98"/>
      <c r="AB21" s="99"/>
      <c r="AC21" s="100"/>
      <c r="AD21" s="101"/>
    </row>
    <row r="22" spans="1:30" x14ac:dyDescent="0.25">
      <c r="A22" s="81"/>
      <c r="B22" s="118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6"/>
      <c r="Z22" s="45" t="s">
        <v>147</v>
      </c>
      <c r="AA22" s="98"/>
      <c r="AB22" s="99"/>
      <c r="AC22" s="100"/>
      <c r="AD22" s="101"/>
    </row>
    <row r="23" spans="1:30" x14ac:dyDescent="0.25">
      <c r="A23" s="81"/>
      <c r="B23" s="118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6"/>
      <c r="Z23" s="45" t="s">
        <v>57</v>
      </c>
      <c r="AA23" s="98"/>
      <c r="AB23" s="99"/>
      <c r="AC23" s="100"/>
      <c r="AD23" s="101">
        <v>1</v>
      </c>
    </row>
    <row r="24" spans="1:30" x14ac:dyDescent="0.25">
      <c r="A24" s="81"/>
      <c r="B24" s="11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6"/>
      <c r="Z24" s="46" t="s">
        <v>52</v>
      </c>
      <c r="AA24" s="98"/>
      <c r="AB24" s="99"/>
      <c r="AC24" s="100"/>
      <c r="AD24" s="101"/>
    </row>
    <row r="25" spans="1:30" x14ac:dyDescent="0.25">
      <c r="A25" s="81"/>
      <c r="B25" s="118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6"/>
      <c r="Z25" s="46"/>
      <c r="AA25" s="98"/>
      <c r="AB25" s="99"/>
      <c r="AC25" s="100"/>
      <c r="AD25" s="101"/>
    </row>
    <row r="26" spans="1:30" x14ac:dyDescent="0.25">
      <c r="A26" s="81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6"/>
      <c r="Z26" s="46"/>
      <c r="AA26" s="92"/>
      <c r="AB26" s="100"/>
      <c r="AC26" s="100"/>
      <c r="AD26" s="101"/>
    </row>
    <row r="27" spans="1:30" x14ac:dyDescent="0.25">
      <c r="A27" s="81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6"/>
      <c r="Z27" s="46"/>
      <c r="AA27" s="92"/>
      <c r="AB27" s="100"/>
      <c r="AC27" s="100"/>
      <c r="AD27" s="101"/>
    </row>
    <row r="28" spans="1:30" x14ac:dyDescent="0.25">
      <c r="A28" s="81"/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6"/>
      <c r="Z28" s="97"/>
      <c r="AA28" s="92" t="s">
        <v>8</v>
      </c>
      <c r="AB28" s="100" t="s">
        <v>7</v>
      </c>
      <c r="AC28" s="100" t="s">
        <v>41</v>
      </c>
      <c r="AD28" s="101" t="s">
        <v>479</v>
      </c>
    </row>
    <row r="29" spans="1:30" x14ac:dyDescent="0.25">
      <c r="A29" s="81"/>
      <c r="B29" s="118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6"/>
      <c r="Z29" s="46"/>
      <c r="AA29" s="92"/>
      <c r="AB29" s="100"/>
      <c r="AC29" s="100"/>
      <c r="AD29" s="101"/>
    </row>
    <row r="30" spans="1:30" x14ac:dyDescent="0.25">
      <c r="A30" s="81"/>
      <c r="B30" s="118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6"/>
      <c r="Z30" s="46"/>
      <c r="AA30" s="92"/>
      <c r="AB30" s="100"/>
      <c r="AC30" s="100"/>
      <c r="AD30" s="101"/>
    </row>
    <row r="31" spans="1:30" x14ac:dyDescent="0.25">
      <c r="A31" s="81"/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6"/>
      <c r="Z31" s="46"/>
      <c r="AA31" s="92"/>
      <c r="AB31" s="100"/>
      <c r="AC31" s="100"/>
      <c r="AD31" s="101"/>
    </row>
    <row r="32" spans="1:30" x14ac:dyDescent="0.25">
      <c r="A32" s="81"/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6"/>
      <c r="Z32" s="46"/>
      <c r="AA32" s="92"/>
      <c r="AB32" s="100"/>
      <c r="AC32" s="100"/>
      <c r="AD32" s="101"/>
    </row>
    <row r="33" spans="1:30" x14ac:dyDescent="0.25">
      <c r="A33" s="81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6"/>
      <c r="Z33" s="46"/>
      <c r="AA33" s="92"/>
      <c r="AB33" s="100"/>
      <c r="AC33" s="100"/>
      <c r="AD33" s="101"/>
    </row>
    <row r="34" spans="1:30" x14ac:dyDescent="0.25">
      <c r="A34" s="81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6"/>
      <c r="Z34" s="97"/>
      <c r="AA34" s="92"/>
      <c r="AB34" s="100"/>
      <c r="AC34" s="100"/>
      <c r="AD34" s="101"/>
    </row>
    <row r="35" spans="1:30" x14ac:dyDescent="0.25">
      <c r="A35" s="81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6"/>
      <c r="Z35" s="46"/>
      <c r="AA35" s="92"/>
      <c r="AB35" s="100"/>
      <c r="AC35" s="100"/>
      <c r="AD35" s="101"/>
    </row>
    <row r="36" spans="1:30" x14ac:dyDescent="0.25">
      <c r="A36" s="81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6"/>
      <c r="Z36" s="46"/>
      <c r="AA36" s="92"/>
      <c r="AB36" s="100"/>
      <c r="AC36" s="100"/>
      <c r="AD36" s="101"/>
    </row>
    <row r="37" spans="1:30" x14ac:dyDescent="0.25">
      <c r="A37" s="81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6"/>
      <c r="Z37" s="46"/>
      <c r="AA37" s="92"/>
      <c r="AB37" s="100"/>
      <c r="AC37" s="100"/>
      <c r="AD37" s="101"/>
    </row>
    <row r="38" spans="1:30" x14ac:dyDescent="0.25">
      <c r="A38" s="81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6"/>
      <c r="Z38" s="46"/>
      <c r="AA38" s="92"/>
      <c r="AB38" s="100"/>
      <c r="AC38" s="100"/>
      <c r="AD38" s="101"/>
    </row>
    <row r="39" spans="1:30" ht="15.75" thickBot="1" x14ac:dyDescent="0.3">
      <c r="A39" s="81"/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6"/>
      <c r="Z39" s="47"/>
      <c r="AA39" s="93"/>
      <c r="AB39" s="112"/>
      <c r="AC39" s="112"/>
      <c r="AD39" s="113"/>
    </row>
    <row r="40" spans="1:30" x14ac:dyDescent="0.25">
      <c r="A40" s="81"/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6"/>
    </row>
    <row r="41" spans="1:30" x14ac:dyDescent="0.25">
      <c r="A41" s="81"/>
      <c r="B41" s="118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6"/>
    </row>
    <row r="42" spans="1:30" x14ac:dyDescent="0.25">
      <c r="A42" s="5"/>
      <c r="B42" s="118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6"/>
    </row>
    <row r="43" spans="1:30" x14ac:dyDescent="0.25">
      <c r="A43" s="5"/>
      <c r="B43" s="118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6"/>
    </row>
    <row r="44" spans="1:30" x14ac:dyDescent="0.25">
      <c r="A44" s="5"/>
      <c r="B44" s="118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6"/>
    </row>
    <row r="45" spans="1:30" x14ac:dyDescent="0.25">
      <c r="A45" s="5"/>
      <c r="B45" s="118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8"/>
      <c r="Q45" s="118"/>
      <c r="R45" s="118"/>
      <c r="S45" s="6"/>
    </row>
    <row r="46" spans="1:30" x14ac:dyDescent="0.25">
      <c r="A46" s="15"/>
      <c r="B46" s="118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6"/>
    </row>
    <row r="47" spans="1:30" ht="15" customHeight="1" x14ac:dyDescent="0.25">
      <c r="A47" s="14"/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6"/>
    </row>
    <row r="48" spans="1:30" ht="15" customHeight="1" x14ac:dyDescent="0.25">
      <c r="A48" s="14"/>
      <c r="B48" s="118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6"/>
    </row>
    <row r="49" spans="1:19" ht="15" customHeight="1" x14ac:dyDescent="0.25">
      <c r="A49" s="14"/>
      <c r="B49" s="118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6"/>
    </row>
    <row r="50" spans="1:19" ht="15" customHeight="1" x14ac:dyDescent="0.25">
      <c r="A50" s="80"/>
      <c r="B50" s="54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6"/>
    </row>
    <row r="51" spans="1:19" ht="15" customHeight="1" x14ac:dyDescent="0.25">
      <c r="A51" s="80"/>
      <c r="B51" s="59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"/>
    </row>
    <row r="52" spans="1:19" ht="15" customHeight="1" x14ac:dyDescent="0.25">
      <c r="A52" s="80"/>
      <c r="B52" s="54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6"/>
    </row>
    <row r="53" spans="1:19" x14ac:dyDescent="0.25">
      <c r="A53" s="15"/>
      <c r="S53" s="6"/>
    </row>
    <row r="54" spans="1:19" ht="15" customHeight="1" x14ac:dyDescent="0.25">
      <c r="A54" s="127" t="s">
        <v>163</v>
      </c>
      <c r="B54" s="118"/>
      <c r="C54" s="118"/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6"/>
    </row>
    <row r="55" spans="1:19" x14ac:dyDescent="0.25">
      <c r="A55" s="127"/>
      <c r="B55" s="118"/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6"/>
    </row>
    <row r="56" spans="1:19" x14ac:dyDescent="0.25">
      <c r="A56" s="127"/>
      <c r="B56" s="118"/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6"/>
    </row>
    <row r="57" spans="1:19" x14ac:dyDescent="0.25">
      <c r="A57" s="127"/>
      <c r="B57" s="118"/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6"/>
    </row>
    <row r="58" spans="1:19" x14ac:dyDescent="0.25">
      <c r="A58" s="127"/>
      <c r="B58" s="118"/>
      <c r="C58" s="118"/>
      <c r="D58" s="118"/>
      <c r="E58" s="118"/>
      <c r="F58" s="118"/>
      <c r="G58" s="118"/>
      <c r="H58" s="118"/>
      <c r="I58" s="118"/>
      <c r="J58" s="118"/>
      <c r="K58" s="118"/>
      <c r="L58" s="118"/>
      <c r="M58" s="118"/>
      <c r="N58" s="118"/>
      <c r="O58" s="118"/>
      <c r="P58" s="118"/>
      <c r="Q58" s="118"/>
      <c r="R58" s="118"/>
      <c r="S58" s="6"/>
    </row>
    <row r="59" spans="1:19" x14ac:dyDescent="0.25">
      <c r="A59" s="127"/>
      <c r="B59" s="118"/>
      <c r="C59" s="118"/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6"/>
    </row>
    <row r="60" spans="1:19" x14ac:dyDescent="0.25">
      <c r="A60" s="127"/>
      <c r="B60" s="118"/>
      <c r="C60" s="118"/>
      <c r="D60" s="118"/>
      <c r="E60" s="118"/>
      <c r="F60" s="118"/>
      <c r="G60" s="118"/>
      <c r="H60" s="118"/>
      <c r="I60" s="118"/>
      <c r="J60" s="118"/>
      <c r="K60" s="118"/>
      <c r="L60" s="118"/>
      <c r="M60" s="118"/>
      <c r="N60" s="118"/>
      <c r="O60" s="118"/>
      <c r="P60" s="118"/>
      <c r="Q60" s="118"/>
      <c r="R60" s="118"/>
      <c r="S60" s="6"/>
    </row>
    <row r="61" spans="1:19" x14ac:dyDescent="0.25">
      <c r="A61" s="127"/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6"/>
    </row>
    <row r="62" spans="1:19" x14ac:dyDescent="0.25">
      <c r="A62" s="127"/>
      <c r="B62" s="118"/>
      <c r="C62" s="118"/>
      <c r="D62" s="118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6"/>
    </row>
    <row r="63" spans="1:19" x14ac:dyDescent="0.25">
      <c r="A63" s="127"/>
      <c r="B63" s="118"/>
      <c r="C63" s="118"/>
      <c r="D63" s="118"/>
      <c r="E63" s="118"/>
      <c r="F63" s="118"/>
      <c r="G63" s="118"/>
      <c r="H63" s="118"/>
      <c r="I63" s="118"/>
      <c r="J63" s="118"/>
      <c r="K63" s="118"/>
      <c r="L63" s="118"/>
      <c r="M63" s="118"/>
      <c r="N63" s="118"/>
      <c r="O63" s="118"/>
      <c r="P63" s="118"/>
      <c r="Q63" s="118"/>
      <c r="R63" s="118"/>
      <c r="S63" s="6"/>
    </row>
    <row r="64" spans="1:19" x14ac:dyDescent="0.25">
      <c r="A64" s="127"/>
      <c r="B64" s="118"/>
      <c r="C64" s="118"/>
      <c r="D64" s="118"/>
      <c r="E64" s="118"/>
      <c r="F64" s="118"/>
      <c r="G64" s="118"/>
      <c r="H64" s="118"/>
      <c r="I64" s="118"/>
      <c r="J64" s="118"/>
      <c r="K64" s="118"/>
      <c r="L64" s="118"/>
      <c r="M64" s="118"/>
      <c r="N64" s="118"/>
      <c r="O64" s="118"/>
      <c r="P64" s="118"/>
      <c r="Q64" s="118"/>
      <c r="R64" s="118"/>
      <c r="S64" s="6"/>
    </row>
    <row r="65" spans="1:19" x14ac:dyDescent="0.25">
      <c r="A65" s="127"/>
      <c r="B65" s="118"/>
      <c r="C65" s="118"/>
      <c r="D65" s="118"/>
      <c r="E65" s="118"/>
      <c r="F65" s="118"/>
      <c r="G65" s="118"/>
      <c r="H65" s="118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6"/>
    </row>
    <row r="66" spans="1:19" x14ac:dyDescent="0.25">
      <c r="A66" s="127"/>
      <c r="B66" s="118"/>
      <c r="C66" s="118"/>
      <c r="D66" s="118"/>
      <c r="E66" s="118"/>
      <c r="F66" s="118"/>
      <c r="G66" s="118"/>
      <c r="H66" s="118"/>
      <c r="I66" s="118"/>
      <c r="J66" s="118"/>
      <c r="K66" s="118"/>
      <c r="L66" s="118"/>
      <c r="M66" s="118"/>
      <c r="N66" s="118"/>
      <c r="O66" s="118"/>
      <c r="P66" s="118"/>
      <c r="Q66" s="118"/>
      <c r="R66" s="118"/>
      <c r="S66" s="6"/>
    </row>
    <row r="67" spans="1:19" x14ac:dyDescent="0.25">
      <c r="A67" s="127"/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6"/>
    </row>
    <row r="68" spans="1:19" x14ac:dyDescent="0.25">
      <c r="A68" s="127"/>
      <c r="B68" s="118"/>
      <c r="C68" s="118"/>
      <c r="D68" s="118"/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118"/>
      <c r="Q68" s="118"/>
      <c r="R68" s="118"/>
      <c r="S68" s="6"/>
    </row>
    <row r="69" spans="1:19" x14ac:dyDescent="0.25">
      <c r="A69" s="127"/>
      <c r="B69" s="118"/>
      <c r="C69" s="118"/>
      <c r="D69" s="118"/>
      <c r="E69" s="118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118"/>
      <c r="Q69" s="118"/>
      <c r="R69" s="118"/>
      <c r="S69" s="6"/>
    </row>
    <row r="70" spans="1:19" x14ac:dyDescent="0.25">
      <c r="A70" s="127"/>
      <c r="B70" s="118"/>
      <c r="C70" s="118"/>
      <c r="D70" s="118"/>
      <c r="E70" s="118"/>
      <c r="F70" s="118"/>
      <c r="G70" s="118"/>
      <c r="H70" s="118"/>
      <c r="I70" s="118"/>
      <c r="J70" s="118"/>
      <c r="K70" s="118"/>
      <c r="L70" s="118"/>
      <c r="M70" s="118"/>
      <c r="N70" s="118"/>
      <c r="O70" s="118"/>
      <c r="P70" s="118"/>
      <c r="Q70" s="118"/>
      <c r="R70" s="118"/>
      <c r="S70" s="6"/>
    </row>
    <row r="71" spans="1:19" x14ac:dyDescent="0.25">
      <c r="A71" s="127"/>
      <c r="B71" s="118"/>
      <c r="C71" s="118"/>
      <c r="D71" s="118"/>
      <c r="E71" s="118"/>
      <c r="F71" s="118"/>
      <c r="G71" s="118"/>
      <c r="H71" s="118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6"/>
    </row>
    <row r="72" spans="1:19" x14ac:dyDescent="0.25">
      <c r="A72" s="127"/>
      <c r="B72" s="118"/>
      <c r="C72" s="118"/>
      <c r="D72" s="118"/>
      <c r="E72" s="118"/>
      <c r="F72" s="118"/>
      <c r="G72" s="118"/>
      <c r="H72" s="118"/>
      <c r="I72" s="118"/>
      <c r="J72" s="118"/>
      <c r="K72" s="118"/>
      <c r="L72" s="118"/>
      <c r="M72" s="118"/>
      <c r="N72" s="118"/>
      <c r="O72" s="118"/>
      <c r="P72" s="118"/>
      <c r="Q72" s="118"/>
      <c r="R72" s="118"/>
      <c r="S72" s="6"/>
    </row>
    <row r="73" spans="1:19" x14ac:dyDescent="0.25">
      <c r="A73" s="127"/>
      <c r="B73" s="118"/>
      <c r="C73" s="118"/>
      <c r="D73" s="118"/>
      <c r="E73" s="118"/>
      <c r="F73" s="118"/>
      <c r="G73" s="118"/>
      <c r="H73" s="118"/>
      <c r="I73" s="118"/>
      <c r="J73" s="118"/>
      <c r="K73" s="118"/>
      <c r="L73" s="118"/>
      <c r="M73" s="118"/>
      <c r="N73" s="118"/>
      <c r="O73" s="118"/>
      <c r="P73" s="118"/>
      <c r="Q73" s="118"/>
      <c r="R73" s="118"/>
      <c r="S73" s="6"/>
    </row>
    <row r="74" spans="1:19" x14ac:dyDescent="0.25">
      <c r="A74" s="127"/>
      <c r="B74" s="118"/>
      <c r="C74" s="118"/>
      <c r="D74" s="118"/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6"/>
    </row>
    <row r="75" spans="1:19" x14ac:dyDescent="0.25">
      <c r="A75" s="127"/>
      <c r="B75" s="118"/>
      <c r="C75" s="118"/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6"/>
    </row>
    <row r="76" spans="1:19" x14ac:dyDescent="0.25">
      <c r="A76" s="127"/>
      <c r="B76" s="118"/>
      <c r="C76" s="118"/>
      <c r="D76" s="118"/>
      <c r="E76" s="118"/>
      <c r="F76" s="118"/>
      <c r="G76" s="118"/>
      <c r="H76" s="118"/>
      <c r="I76" s="118"/>
      <c r="J76" s="118"/>
      <c r="K76" s="118"/>
      <c r="L76" s="118"/>
      <c r="M76" s="118"/>
      <c r="N76" s="118"/>
      <c r="O76" s="118"/>
      <c r="P76" s="118"/>
      <c r="Q76" s="118"/>
      <c r="R76" s="118"/>
      <c r="S76" s="6"/>
    </row>
    <row r="77" spans="1:19" x14ac:dyDescent="0.25">
      <c r="A77" s="127"/>
      <c r="B77" s="118"/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6"/>
    </row>
    <row r="78" spans="1:19" x14ac:dyDescent="0.25">
      <c r="A78" s="127"/>
      <c r="B78" s="118"/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6"/>
    </row>
    <row r="79" spans="1:19" x14ac:dyDescent="0.25">
      <c r="A79" s="127"/>
      <c r="B79" s="118"/>
      <c r="C79" s="118"/>
      <c r="D79" s="118"/>
      <c r="E79" s="118"/>
      <c r="F79" s="118"/>
      <c r="G79" s="118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6"/>
    </row>
    <row r="80" spans="1:19" x14ac:dyDescent="0.25">
      <c r="A80" s="127"/>
      <c r="B80" s="118"/>
      <c r="C80" s="118"/>
      <c r="D80" s="118"/>
      <c r="E80" s="118"/>
      <c r="F80" s="118"/>
      <c r="G80" s="118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6"/>
    </row>
    <row r="81" spans="1:26" x14ac:dyDescent="0.25">
      <c r="A81" s="127"/>
      <c r="B81" s="118"/>
      <c r="C81" s="118"/>
      <c r="D81" s="118"/>
      <c r="E81" s="118"/>
      <c r="F81" s="118"/>
      <c r="G81" s="118"/>
      <c r="H81" s="118"/>
      <c r="I81" s="118"/>
      <c r="J81" s="118"/>
      <c r="K81" s="118"/>
      <c r="L81" s="118"/>
      <c r="M81" s="118"/>
      <c r="N81" s="118"/>
      <c r="O81" s="118"/>
      <c r="P81" s="118"/>
      <c r="Q81" s="118"/>
      <c r="R81" s="118"/>
      <c r="S81" s="6"/>
    </row>
    <row r="82" spans="1:26" x14ac:dyDescent="0.25">
      <c r="A82" s="127"/>
      <c r="B82" s="118"/>
      <c r="C82" s="118"/>
      <c r="D82" s="118"/>
      <c r="E82" s="118"/>
      <c r="F82" s="118"/>
      <c r="G82" s="118"/>
      <c r="H82" s="118"/>
      <c r="I82" s="118"/>
      <c r="J82" s="118"/>
      <c r="K82" s="118"/>
      <c r="L82" s="118"/>
      <c r="M82" s="118"/>
      <c r="N82" s="118"/>
      <c r="O82" s="118"/>
      <c r="P82" s="118"/>
      <c r="Q82" s="118"/>
      <c r="R82" s="118"/>
      <c r="S82" s="6"/>
    </row>
    <row r="83" spans="1:26" x14ac:dyDescent="0.25">
      <c r="A83" s="127"/>
      <c r="B83" s="118"/>
      <c r="C83" s="118"/>
      <c r="D83" s="118"/>
      <c r="E83" s="118"/>
      <c r="F83" s="118"/>
      <c r="G83" s="118"/>
      <c r="H83" s="118"/>
      <c r="I83" s="118"/>
      <c r="J83" s="118"/>
      <c r="K83" s="118"/>
      <c r="L83" s="118"/>
      <c r="M83" s="118"/>
      <c r="N83" s="118"/>
      <c r="O83" s="118"/>
      <c r="P83" s="118"/>
      <c r="Q83" s="118"/>
      <c r="R83" s="118"/>
      <c r="S83" s="6"/>
    </row>
    <row r="84" spans="1:26" x14ac:dyDescent="0.25">
      <c r="A84" s="127"/>
      <c r="B84" s="118"/>
      <c r="C84" s="118"/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118"/>
      <c r="Q84" s="118"/>
      <c r="R84" s="118"/>
      <c r="S84" s="6"/>
    </row>
    <row r="85" spans="1:26" x14ac:dyDescent="0.25">
      <c r="A85" s="127"/>
      <c r="B85" s="118"/>
      <c r="C85" s="118"/>
      <c r="D85" s="118"/>
      <c r="E85" s="118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118"/>
      <c r="Q85" s="118"/>
      <c r="R85" s="118"/>
      <c r="S85" s="6"/>
    </row>
    <row r="86" spans="1:26" x14ac:dyDescent="0.25">
      <c r="A86" s="127"/>
      <c r="B86" s="118"/>
      <c r="C86" s="118"/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8"/>
      <c r="Q86" s="118"/>
      <c r="R86" s="118"/>
      <c r="S86" s="6"/>
      <c r="Z86" s="30"/>
    </row>
    <row r="87" spans="1:26" x14ac:dyDescent="0.25">
      <c r="A87" s="127"/>
      <c r="B87" s="118"/>
      <c r="C87" s="118"/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118"/>
      <c r="Q87" s="118"/>
      <c r="R87" s="118"/>
      <c r="S87" s="6"/>
    </row>
    <row r="88" spans="1:26" x14ac:dyDescent="0.25">
      <c r="A88" s="127"/>
      <c r="B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6"/>
    </row>
    <row r="89" spans="1:26" x14ac:dyDescent="0.25">
      <c r="A89" s="127"/>
      <c r="B89" s="11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18"/>
      <c r="O89" s="118"/>
      <c r="P89" s="118"/>
      <c r="Q89" s="118"/>
      <c r="R89" s="118"/>
      <c r="S89" s="6"/>
    </row>
    <row r="90" spans="1:26" x14ac:dyDescent="0.25">
      <c r="A90" s="127"/>
      <c r="B90" s="118"/>
      <c r="C90" s="118"/>
      <c r="D90" s="118"/>
      <c r="E90" s="118"/>
      <c r="F90" s="118"/>
      <c r="G90" s="118"/>
      <c r="H90" s="118"/>
      <c r="I90" s="118"/>
      <c r="J90" s="118"/>
      <c r="K90" s="118"/>
      <c r="L90" s="118"/>
      <c r="M90" s="118"/>
      <c r="N90" s="118"/>
      <c r="O90" s="118"/>
      <c r="P90" s="118"/>
      <c r="Q90" s="118"/>
      <c r="R90" s="118"/>
      <c r="S90" s="76"/>
    </row>
    <row r="91" spans="1:26" x14ac:dyDescent="0.25">
      <c r="A91" s="127"/>
      <c r="B91" s="118"/>
      <c r="C91" s="118"/>
      <c r="D91" s="118"/>
      <c r="E91" s="118"/>
      <c r="F91" s="118"/>
      <c r="G91" s="118"/>
      <c r="H91" s="118"/>
      <c r="I91" s="118"/>
      <c r="J91" s="118"/>
      <c r="K91" s="118"/>
      <c r="L91" s="118"/>
      <c r="M91" s="118"/>
      <c r="N91" s="118"/>
      <c r="O91" s="118"/>
      <c r="P91" s="118"/>
      <c r="Q91" s="118"/>
      <c r="R91" s="118"/>
      <c r="S91" s="77"/>
    </row>
    <row r="92" spans="1:26" ht="15" customHeight="1" x14ac:dyDescent="0.25">
      <c r="A92" s="127"/>
      <c r="B92" s="118"/>
      <c r="C92" s="118"/>
      <c r="D92" s="118"/>
      <c r="E92" s="118"/>
      <c r="F92" s="118"/>
      <c r="G92" s="118"/>
      <c r="H92" s="118"/>
      <c r="I92" s="118"/>
      <c r="J92" s="118"/>
      <c r="K92" s="118"/>
      <c r="L92" s="118"/>
      <c r="M92" s="118"/>
      <c r="N92" s="118"/>
      <c r="O92" s="118"/>
      <c r="P92" s="118"/>
      <c r="Q92" s="118"/>
      <c r="R92" s="118"/>
      <c r="S92" s="77"/>
    </row>
    <row r="93" spans="1:26" ht="15" customHeight="1" x14ac:dyDescent="0.25">
      <c r="A93" s="14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77"/>
    </row>
    <row r="94" spans="1:26" ht="15" customHeight="1" x14ac:dyDescent="0.25">
      <c r="A94" s="14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77"/>
    </row>
    <row r="95" spans="1:26" ht="15" customHeight="1" x14ac:dyDescent="0.25">
      <c r="A95" s="80"/>
      <c r="B95" s="54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77"/>
    </row>
    <row r="96" spans="1:26" ht="15" customHeight="1" x14ac:dyDescent="0.25">
      <c r="A96" s="80"/>
      <c r="B96" s="54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77"/>
    </row>
    <row r="97" spans="1:19" ht="15" customHeight="1" x14ac:dyDescent="0.25">
      <c r="A97" s="80"/>
      <c r="B97" s="125"/>
      <c r="C97" s="125"/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77"/>
    </row>
    <row r="98" spans="1:19" ht="15" customHeight="1" x14ac:dyDescent="0.25">
      <c r="A98" s="82"/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77"/>
    </row>
    <row r="99" spans="1:19" ht="15" customHeight="1" x14ac:dyDescent="0.25">
      <c r="A99" s="128"/>
      <c r="B99" s="125"/>
      <c r="C99" s="125"/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6"/>
    </row>
    <row r="100" spans="1:19" ht="15" customHeight="1" x14ac:dyDescent="0.25">
      <c r="A100" s="128"/>
      <c r="B100" s="125"/>
      <c r="C100" s="125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6"/>
    </row>
    <row r="101" spans="1:19" ht="15" customHeight="1" x14ac:dyDescent="0.25">
      <c r="A101" s="128"/>
      <c r="B101" s="125"/>
      <c r="C101" s="125"/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6"/>
    </row>
    <row r="102" spans="1:19" ht="15" customHeight="1" x14ac:dyDescent="0.25">
      <c r="A102" s="128"/>
      <c r="B102" s="125"/>
      <c r="C102" s="125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6"/>
    </row>
    <row r="103" spans="1:19" ht="15" customHeight="1" x14ac:dyDescent="0.25">
      <c r="A103" s="128"/>
      <c r="B103" s="125"/>
      <c r="C103" s="125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6"/>
    </row>
    <row r="104" spans="1:19" ht="15" customHeight="1" x14ac:dyDescent="0.25">
      <c r="A104" s="128"/>
      <c r="B104" s="125"/>
      <c r="C104" s="125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6"/>
    </row>
    <row r="105" spans="1:19" ht="15" customHeight="1" x14ac:dyDescent="0.25">
      <c r="A105" s="128"/>
      <c r="B105" s="125"/>
      <c r="C105" s="125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6"/>
    </row>
    <row r="106" spans="1:19" ht="15" customHeight="1" x14ac:dyDescent="0.25">
      <c r="A106" s="128"/>
      <c r="B106" s="125"/>
      <c r="C106" s="125"/>
      <c r="D106" s="125"/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6"/>
    </row>
    <row r="107" spans="1:19" ht="15" customHeight="1" x14ac:dyDescent="0.25">
      <c r="A107" s="128"/>
      <c r="B107" s="125"/>
      <c r="C107" s="125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6"/>
    </row>
    <row r="108" spans="1:19" ht="15" customHeight="1" x14ac:dyDescent="0.25">
      <c r="A108" s="128"/>
      <c r="B108" s="125"/>
      <c r="C108" s="125"/>
      <c r="D108" s="125"/>
      <c r="E108" s="125"/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6"/>
    </row>
    <row r="109" spans="1:19" ht="15" customHeight="1" x14ac:dyDescent="0.25">
      <c r="A109" s="128"/>
      <c r="B109" s="125"/>
      <c r="C109" s="125"/>
      <c r="D109" s="125"/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6"/>
    </row>
    <row r="110" spans="1:19" ht="15" customHeight="1" x14ac:dyDescent="0.25">
      <c r="A110" s="128"/>
      <c r="B110" s="125"/>
      <c r="C110" s="125"/>
      <c r="D110" s="125"/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6"/>
    </row>
    <row r="111" spans="1:19" ht="15" customHeight="1" x14ac:dyDescent="0.25">
      <c r="A111" s="128"/>
      <c r="B111" s="125"/>
      <c r="C111" s="125"/>
      <c r="D111" s="125"/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6"/>
    </row>
    <row r="112" spans="1:19" ht="15" customHeight="1" x14ac:dyDescent="0.25">
      <c r="A112" s="128"/>
      <c r="B112" s="125"/>
      <c r="C112" s="125"/>
      <c r="D112" s="125"/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6"/>
    </row>
    <row r="113" spans="1:19" ht="15" customHeight="1" x14ac:dyDescent="0.25">
      <c r="A113" s="128"/>
      <c r="B113" s="125"/>
      <c r="C113" s="125"/>
      <c r="D113" s="125"/>
      <c r="E113" s="125"/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6"/>
    </row>
    <row r="114" spans="1:19" ht="15" customHeight="1" x14ac:dyDescent="0.25">
      <c r="A114" s="128"/>
      <c r="B114" s="125"/>
      <c r="C114" s="125"/>
      <c r="D114" s="125"/>
      <c r="E114" s="125"/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6"/>
    </row>
    <row r="115" spans="1:19" ht="15" customHeight="1" x14ac:dyDescent="0.25">
      <c r="A115" s="128"/>
      <c r="B115" s="125"/>
      <c r="C115" s="125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6"/>
    </row>
    <row r="116" spans="1:19" ht="15" customHeight="1" x14ac:dyDescent="0.25">
      <c r="A116" s="128"/>
      <c r="B116" s="125"/>
      <c r="C116" s="125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6"/>
    </row>
    <row r="117" spans="1:19" ht="15" customHeight="1" x14ac:dyDescent="0.25">
      <c r="A117" s="128"/>
      <c r="B117" s="125"/>
      <c r="C117" s="125"/>
      <c r="D117" s="125"/>
      <c r="E117" s="125"/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6"/>
    </row>
    <row r="118" spans="1:19" ht="15" customHeight="1" x14ac:dyDescent="0.25">
      <c r="A118" s="128"/>
      <c r="B118" s="125"/>
      <c r="C118" s="125"/>
      <c r="D118" s="125"/>
      <c r="E118" s="125"/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6"/>
    </row>
    <row r="119" spans="1:19" ht="15" customHeight="1" x14ac:dyDescent="0.25">
      <c r="A119" s="128"/>
      <c r="B119" s="125"/>
      <c r="C119" s="125"/>
      <c r="D119" s="125"/>
      <c r="E119" s="125"/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6"/>
    </row>
    <row r="120" spans="1:19" ht="15" customHeight="1" x14ac:dyDescent="0.25">
      <c r="A120" s="128"/>
      <c r="B120" s="125"/>
      <c r="C120" s="125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6"/>
    </row>
    <row r="121" spans="1:19" ht="15" customHeight="1" x14ac:dyDescent="0.25">
      <c r="A121" s="128"/>
      <c r="B121" s="125"/>
      <c r="C121" s="125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6"/>
    </row>
    <row r="122" spans="1:19" ht="15" customHeight="1" x14ac:dyDescent="0.25">
      <c r="A122" s="128"/>
      <c r="B122" s="125"/>
      <c r="C122" s="125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6"/>
    </row>
    <row r="123" spans="1:19" ht="15" customHeight="1" x14ac:dyDescent="0.25">
      <c r="A123" s="128"/>
      <c r="B123" s="125"/>
      <c r="C123" s="125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6"/>
    </row>
    <row r="124" spans="1:19" ht="15" customHeight="1" x14ac:dyDescent="0.25">
      <c r="A124" s="128"/>
      <c r="B124" s="125"/>
      <c r="C124" s="125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6"/>
    </row>
    <row r="125" spans="1:19" ht="15" customHeight="1" x14ac:dyDescent="0.25">
      <c r="A125" s="128"/>
      <c r="B125" s="125"/>
      <c r="C125" s="125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6"/>
    </row>
    <row r="126" spans="1:19" ht="15" customHeight="1" x14ac:dyDescent="0.25">
      <c r="A126" s="128"/>
      <c r="B126" s="125"/>
      <c r="C126" s="125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6"/>
    </row>
    <row r="127" spans="1:19" ht="15" customHeight="1" x14ac:dyDescent="0.25">
      <c r="A127" s="128"/>
      <c r="B127" s="125"/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6"/>
    </row>
    <row r="128" spans="1:19" ht="15" customHeight="1" x14ac:dyDescent="0.25">
      <c r="A128" s="128"/>
      <c r="B128" s="125"/>
      <c r="C128" s="125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6"/>
    </row>
    <row r="129" spans="1:27" ht="15" customHeight="1" x14ac:dyDescent="0.25">
      <c r="A129" s="128"/>
      <c r="B129" s="125"/>
      <c r="C129" s="125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6"/>
    </row>
    <row r="130" spans="1:27" ht="15" customHeight="1" x14ac:dyDescent="0.25">
      <c r="A130" s="128"/>
      <c r="B130" s="125"/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6"/>
    </row>
    <row r="131" spans="1:27" ht="15" customHeight="1" x14ac:dyDescent="0.25">
      <c r="A131" s="128"/>
      <c r="B131" s="125"/>
      <c r="C131" s="125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6"/>
    </row>
    <row r="132" spans="1:27" ht="15" customHeight="1" x14ac:dyDescent="0.25">
      <c r="A132" s="5"/>
      <c r="B132" s="125"/>
      <c r="C132" s="125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6"/>
    </row>
    <row r="133" spans="1:27" ht="15" customHeight="1" x14ac:dyDescent="0.25">
      <c r="A133" s="5"/>
      <c r="B133" s="125"/>
      <c r="C133" s="125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6"/>
    </row>
    <row r="134" spans="1:27" ht="15" customHeight="1" x14ac:dyDescent="0.25">
      <c r="A134" s="5"/>
      <c r="B134" s="125"/>
      <c r="C134" s="125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6"/>
    </row>
    <row r="135" spans="1:27" ht="15" customHeight="1" x14ac:dyDescent="0.25">
      <c r="A135" s="5"/>
      <c r="B135" s="125"/>
      <c r="C135" s="125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6"/>
    </row>
    <row r="136" spans="1:27" x14ac:dyDescent="0.25">
      <c r="A136" s="15"/>
      <c r="S136" s="6"/>
    </row>
    <row r="137" spans="1:27" ht="15" customHeight="1" x14ac:dyDescent="0.25">
      <c r="A137" s="14"/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6"/>
    </row>
    <row r="138" spans="1:27" ht="15" customHeight="1" x14ac:dyDescent="0.25">
      <c r="A138" s="14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6"/>
    </row>
    <row r="139" spans="1:27" ht="15" customHeight="1" x14ac:dyDescent="0.25">
      <c r="A139" s="14"/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6"/>
    </row>
    <row r="140" spans="1:27" ht="15" customHeight="1" x14ac:dyDescent="0.25">
      <c r="A140" s="80"/>
      <c r="B140" s="54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76"/>
    </row>
    <row r="141" spans="1:27" ht="15" customHeight="1" x14ac:dyDescent="0.25">
      <c r="A141" s="80"/>
      <c r="B141" s="54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76"/>
    </row>
    <row r="142" spans="1:27" ht="15" customHeight="1" x14ac:dyDescent="0.25">
      <c r="A142" s="83"/>
      <c r="B142" s="59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78"/>
    </row>
    <row r="143" spans="1:27" x14ac:dyDescent="0.25">
      <c r="G143" s="30"/>
      <c r="AA143" s="2"/>
    </row>
    <row r="144" spans="1:27" ht="15" customHeight="1" x14ac:dyDescent="0.25">
      <c r="G144" s="30"/>
      <c r="AA144" s="2"/>
    </row>
    <row r="145" spans="7:27" x14ac:dyDescent="0.25">
      <c r="G145" s="30"/>
      <c r="AA145" s="2"/>
    </row>
    <row r="146" spans="7:27" x14ac:dyDescent="0.25">
      <c r="G146" s="30"/>
      <c r="AA146" s="2"/>
    </row>
    <row r="147" spans="7:27" x14ac:dyDescent="0.25">
      <c r="G147" s="30"/>
      <c r="AA147" s="2"/>
    </row>
    <row r="148" spans="7:27" x14ac:dyDescent="0.25">
      <c r="G148" s="30"/>
      <c r="AA148" s="2"/>
    </row>
    <row r="149" spans="7:27" x14ac:dyDescent="0.25">
      <c r="G149" s="30"/>
      <c r="AA149" s="2"/>
    </row>
    <row r="150" spans="7:27" x14ac:dyDescent="0.25">
      <c r="G150" s="30"/>
      <c r="AA150" s="2"/>
    </row>
    <row r="151" spans="7:27" x14ac:dyDescent="0.25">
      <c r="G151" s="30"/>
      <c r="AA151" s="2"/>
    </row>
    <row r="152" spans="7:27" x14ac:dyDescent="0.25">
      <c r="G152" s="30"/>
      <c r="AA152" s="2"/>
    </row>
    <row r="153" spans="7:27" x14ac:dyDescent="0.25">
      <c r="G153" s="30"/>
      <c r="AA153" s="2"/>
    </row>
    <row r="154" spans="7:27" x14ac:dyDescent="0.25">
      <c r="G154" s="30"/>
      <c r="AA154" s="2"/>
    </row>
    <row r="155" spans="7:27" x14ac:dyDescent="0.25">
      <c r="G155" s="30"/>
      <c r="AA155" s="2"/>
    </row>
    <row r="156" spans="7:27" x14ac:dyDescent="0.25">
      <c r="G156" s="30"/>
      <c r="AA156" s="2"/>
    </row>
    <row r="157" spans="7:27" x14ac:dyDescent="0.25">
      <c r="G157" s="30"/>
      <c r="AA157" s="2"/>
    </row>
    <row r="158" spans="7:27" x14ac:dyDescent="0.25">
      <c r="G158" s="30"/>
      <c r="AA158" s="2"/>
    </row>
    <row r="159" spans="7:27" x14ac:dyDescent="0.25">
      <c r="G159" s="30"/>
      <c r="AA159" s="2"/>
    </row>
    <row r="160" spans="7:27" x14ac:dyDescent="0.25">
      <c r="G160" s="30"/>
      <c r="AA160" s="2"/>
    </row>
    <row r="161" spans="7:27" x14ac:dyDescent="0.25">
      <c r="G161" s="30"/>
      <c r="AA161" s="2"/>
    </row>
    <row r="162" spans="7:27" x14ac:dyDescent="0.25">
      <c r="G162" s="30"/>
      <c r="AA162" s="2"/>
    </row>
    <row r="163" spans="7:27" x14ac:dyDescent="0.25">
      <c r="G163" s="30"/>
      <c r="AA163" s="2"/>
    </row>
    <row r="164" spans="7:27" x14ac:dyDescent="0.25">
      <c r="G164" s="30"/>
      <c r="AA164" s="2"/>
    </row>
    <row r="165" spans="7:27" x14ac:dyDescent="0.25">
      <c r="G165" s="30"/>
      <c r="AA165" s="2"/>
    </row>
    <row r="166" spans="7:27" x14ac:dyDescent="0.25">
      <c r="G166" s="30"/>
      <c r="AA166" s="2"/>
    </row>
    <row r="167" spans="7:27" x14ac:dyDescent="0.25">
      <c r="G167" s="30"/>
      <c r="AA167" s="2"/>
    </row>
    <row r="168" spans="7:27" x14ac:dyDescent="0.25">
      <c r="G168" s="30"/>
      <c r="AA168" s="2"/>
    </row>
    <row r="169" spans="7:27" x14ac:dyDescent="0.25">
      <c r="G169" s="30"/>
      <c r="AA169" s="2"/>
    </row>
    <row r="170" spans="7:27" x14ac:dyDescent="0.25">
      <c r="G170" s="30"/>
      <c r="AA170" s="2"/>
    </row>
    <row r="171" spans="7:27" x14ac:dyDescent="0.25">
      <c r="G171" s="30"/>
      <c r="AA171" s="2"/>
    </row>
    <row r="172" spans="7:27" x14ac:dyDescent="0.25">
      <c r="G172" s="30"/>
      <c r="AA172" s="2"/>
    </row>
    <row r="173" spans="7:27" x14ac:dyDescent="0.25">
      <c r="G173" s="30"/>
      <c r="AA173" s="2"/>
    </row>
    <row r="174" spans="7:27" x14ac:dyDescent="0.25">
      <c r="G174" s="30"/>
      <c r="AA174" s="2"/>
    </row>
    <row r="175" spans="7:27" x14ac:dyDescent="0.25">
      <c r="G175" s="30"/>
      <c r="AA175" s="2"/>
    </row>
    <row r="176" spans="7:27" x14ac:dyDescent="0.25">
      <c r="G176" s="30"/>
      <c r="AA176" s="2"/>
    </row>
    <row r="177" spans="7:27" x14ac:dyDescent="0.25">
      <c r="G177" s="30"/>
      <c r="AA177" s="2"/>
    </row>
    <row r="178" spans="7:27" x14ac:dyDescent="0.25">
      <c r="G178" s="30"/>
      <c r="AA178" s="2"/>
    </row>
    <row r="179" spans="7:27" x14ac:dyDescent="0.25">
      <c r="G179" s="30"/>
      <c r="AA179" s="2"/>
    </row>
    <row r="180" spans="7:27" x14ac:dyDescent="0.25">
      <c r="G180" s="30"/>
      <c r="AA180" s="2"/>
    </row>
    <row r="181" spans="7:27" x14ac:dyDescent="0.25">
      <c r="G181" s="30"/>
      <c r="AA181" s="2"/>
    </row>
    <row r="182" spans="7:27" ht="15" customHeight="1" x14ac:dyDescent="0.25">
      <c r="G182" s="30"/>
      <c r="AA182" s="2"/>
    </row>
    <row r="183" spans="7:27" ht="15" customHeight="1" x14ac:dyDescent="0.25">
      <c r="G183" s="30"/>
      <c r="AA183" s="2"/>
    </row>
    <row r="184" spans="7:27" ht="15" customHeight="1" x14ac:dyDescent="0.25">
      <c r="G184" s="30"/>
      <c r="AA184" s="2"/>
    </row>
    <row r="185" spans="7:27" ht="15" customHeight="1" x14ac:dyDescent="0.25">
      <c r="G185" s="30"/>
      <c r="AA185" s="2"/>
    </row>
    <row r="186" spans="7:27" ht="15" customHeight="1" x14ac:dyDescent="0.25">
      <c r="G186" s="30"/>
      <c r="AA186" s="2"/>
    </row>
    <row r="187" spans="7:27" ht="15" customHeight="1" x14ac:dyDescent="0.25">
      <c r="G187" s="30"/>
      <c r="AA187" s="2"/>
    </row>
    <row r="188" spans="7:27" x14ac:dyDescent="0.25">
      <c r="G188" s="30"/>
      <c r="AA188" s="2"/>
    </row>
    <row r="189" spans="7:27" ht="15" customHeight="1" x14ac:dyDescent="0.25">
      <c r="G189" s="30"/>
      <c r="AA189" s="2"/>
    </row>
    <row r="190" spans="7:27" x14ac:dyDescent="0.25">
      <c r="G190" s="30"/>
      <c r="AA190" s="2"/>
    </row>
    <row r="191" spans="7:27" x14ac:dyDescent="0.25">
      <c r="G191" s="30"/>
      <c r="AA191" s="2"/>
    </row>
    <row r="192" spans="7:27" x14ac:dyDescent="0.25">
      <c r="G192" s="30"/>
      <c r="AA192" s="2"/>
    </row>
    <row r="193" spans="7:27" x14ac:dyDescent="0.25">
      <c r="G193" s="30"/>
      <c r="AA193" s="2"/>
    </row>
    <row r="194" spans="7:27" x14ac:dyDescent="0.25">
      <c r="G194" s="30"/>
      <c r="AA194" s="2"/>
    </row>
    <row r="195" spans="7:27" x14ac:dyDescent="0.25">
      <c r="G195" s="30"/>
      <c r="AA195" s="2"/>
    </row>
    <row r="196" spans="7:27" x14ac:dyDescent="0.25">
      <c r="G196" s="30"/>
      <c r="AA196" s="2"/>
    </row>
    <row r="197" spans="7:27" x14ac:dyDescent="0.25">
      <c r="G197" s="30"/>
      <c r="AA197" s="2"/>
    </row>
    <row r="198" spans="7:27" x14ac:dyDescent="0.25">
      <c r="G198" s="30"/>
      <c r="AA198" s="2"/>
    </row>
    <row r="199" spans="7:27" x14ac:dyDescent="0.25">
      <c r="G199" s="30"/>
      <c r="AA199" s="2"/>
    </row>
    <row r="200" spans="7:27" x14ac:dyDescent="0.25">
      <c r="G200" s="30"/>
      <c r="AA200" s="2"/>
    </row>
    <row r="201" spans="7:27" x14ac:dyDescent="0.25">
      <c r="G201" s="30"/>
      <c r="AA201" s="2"/>
    </row>
    <row r="202" spans="7:27" x14ac:dyDescent="0.25">
      <c r="G202" s="30"/>
      <c r="AA202" s="2"/>
    </row>
    <row r="203" spans="7:27" x14ac:dyDescent="0.25">
      <c r="G203" s="30"/>
      <c r="AA203" s="2"/>
    </row>
    <row r="204" spans="7:27" x14ac:dyDescent="0.25">
      <c r="G204" s="30"/>
      <c r="AA204" s="2"/>
    </row>
    <row r="205" spans="7:27" x14ac:dyDescent="0.25">
      <c r="G205" s="30"/>
      <c r="AA205" s="2"/>
    </row>
    <row r="206" spans="7:27" x14ac:dyDescent="0.25">
      <c r="G206" s="30"/>
      <c r="AA206" s="2"/>
    </row>
    <row r="207" spans="7:27" x14ac:dyDescent="0.25">
      <c r="G207" s="30"/>
      <c r="AA207" s="2"/>
    </row>
    <row r="208" spans="7:27" x14ac:dyDescent="0.25">
      <c r="G208" s="30"/>
      <c r="AA208" s="2"/>
    </row>
    <row r="209" spans="7:27" x14ac:dyDescent="0.25">
      <c r="G209" s="30"/>
      <c r="AA209" s="2"/>
    </row>
    <row r="210" spans="7:27" x14ac:dyDescent="0.25">
      <c r="G210" s="30"/>
      <c r="AA210" s="2"/>
    </row>
    <row r="211" spans="7:27" x14ac:dyDescent="0.25">
      <c r="G211" s="30"/>
      <c r="AA211" s="2"/>
    </row>
    <row r="212" spans="7:27" x14ac:dyDescent="0.25">
      <c r="G212" s="30"/>
      <c r="AA212" s="2"/>
    </row>
    <row r="213" spans="7:27" x14ac:dyDescent="0.25">
      <c r="G213" s="30"/>
      <c r="AA213" s="2"/>
    </row>
    <row r="214" spans="7:27" x14ac:dyDescent="0.25">
      <c r="G214" s="30"/>
      <c r="AA214" s="2"/>
    </row>
    <row r="215" spans="7:27" x14ac:dyDescent="0.25">
      <c r="G215" s="30"/>
      <c r="AA215" s="2"/>
    </row>
    <row r="216" spans="7:27" x14ac:dyDescent="0.25">
      <c r="G216" s="30"/>
      <c r="AA216" s="2"/>
    </row>
    <row r="217" spans="7:27" x14ac:dyDescent="0.25">
      <c r="G217" s="30"/>
      <c r="AA217" s="2"/>
    </row>
    <row r="218" spans="7:27" x14ac:dyDescent="0.25">
      <c r="G218" s="30"/>
      <c r="AA218" s="2"/>
    </row>
    <row r="219" spans="7:27" x14ac:dyDescent="0.25">
      <c r="G219" s="30"/>
      <c r="AA219" s="2"/>
    </row>
    <row r="220" spans="7:27" x14ac:dyDescent="0.25">
      <c r="G220" s="30"/>
      <c r="AA220" s="2"/>
    </row>
    <row r="221" spans="7:27" x14ac:dyDescent="0.25">
      <c r="G221" s="30"/>
      <c r="AA221" s="2"/>
    </row>
    <row r="222" spans="7:27" x14ac:dyDescent="0.25">
      <c r="G222" s="30"/>
      <c r="AA222" s="2"/>
    </row>
    <row r="223" spans="7:27" x14ac:dyDescent="0.25">
      <c r="G223" s="30"/>
      <c r="AA223" s="2"/>
    </row>
    <row r="224" spans="7:27" x14ac:dyDescent="0.25">
      <c r="G224" s="30"/>
      <c r="AA224" s="2"/>
    </row>
    <row r="225" spans="7:27" x14ac:dyDescent="0.25">
      <c r="G225" s="30"/>
      <c r="AA225" s="2"/>
    </row>
    <row r="226" spans="7:27" x14ac:dyDescent="0.25">
      <c r="G226" s="30"/>
      <c r="AA226" s="2"/>
    </row>
    <row r="227" spans="7:27" ht="15" customHeight="1" x14ac:dyDescent="0.25">
      <c r="G227" s="30"/>
      <c r="AA227" s="2"/>
    </row>
    <row r="228" spans="7:27" ht="15" customHeight="1" x14ac:dyDescent="0.25">
      <c r="G228" s="30"/>
      <c r="AA228" s="2"/>
    </row>
    <row r="229" spans="7:27" ht="15" customHeight="1" x14ac:dyDescent="0.25">
      <c r="G229" s="30"/>
      <c r="AA229" s="2"/>
    </row>
    <row r="230" spans="7:27" ht="15" customHeight="1" x14ac:dyDescent="0.25">
      <c r="G230" s="30"/>
      <c r="AA230" s="2"/>
    </row>
    <row r="231" spans="7:27" ht="15" customHeight="1" x14ac:dyDescent="0.25">
      <c r="G231" s="30"/>
      <c r="AA231" s="2"/>
    </row>
    <row r="232" spans="7:27" ht="15" customHeight="1" x14ac:dyDescent="0.25">
      <c r="G232" s="30"/>
      <c r="AA232" s="2"/>
    </row>
    <row r="233" spans="7:27" x14ac:dyDescent="0.25">
      <c r="G233" s="30"/>
      <c r="AA233" s="2"/>
    </row>
    <row r="234" spans="7:27" ht="15" customHeight="1" x14ac:dyDescent="0.25">
      <c r="G234" s="30"/>
      <c r="AA234" s="2"/>
    </row>
    <row r="235" spans="7:27" x14ac:dyDescent="0.25">
      <c r="G235" s="30"/>
      <c r="AA235" s="2"/>
    </row>
    <row r="236" spans="7:27" x14ac:dyDescent="0.25">
      <c r="G236" s="30"/>
      <c r="AA236" s="2"/>
    </row>
    <row r="237" spans="7:27" x14ac:dyDescent="0.25">
      <c r="G237" s="30"/>
      <c r="AA237" s="2"/>
    </row>
    <row r="238" spans="7:27" x14ac:dyDescent="0.25">
      <c r="G238" s="30"/>
      <c r="AA238" s="2"/>
    </row>
    <row r="239" spans="7:27" x14ac:dyDescent="0.25">
      <c r="G239" s="30"/>
      <c r="AA239" s="2"/>
    </row>
    <row r="240" spans="7:27" x14ac:dyDescent="0.25">
      <c r="G240" s="30"/>
      <c r="AA240" s="2"/>
    </row>
    <row r="241" spans="7:27" x14ac:dyDescent="0.25">
      <c r="G241" s="30"/>
      <c r="AA241" s="2"/>
    </row>
    <row r="242" spans="7:27" x14ac:dyDescent="0.25">
      <c r="G242" s="30"/>
      <c r="AA242" s="2"/>
    </row>
    <row r="243" spans="7:27" x14ac:dyDescent="0.25">
      <c r="G243" s="30"/>
      <c r="AA243" s="2"/>
    </row>
    <row r="244" spans="7:27" x14ac:dyDescent="0.25">
      <c r="G244" s="30"/>
      <c r="AA244" s="2"/>
    </row>
    <row r="245" spans="7:27" x14ac:dyDescent="0.25">
      <c r="G245" s="30"/>
      <c r="AA245" s="2"/>
    </row>
    <row r="246" spans="7:27" x14ac:dyDescent="0.25">
      <c r="G246" s="30"/>
      <c r="AA246" s="2"/>
    </row>
    <row r="247" spans="7:27" x14ac:dyDescent="0.25">
      <c r="G247" s="30"/>
      <c r="AA247" s="2"/>
    </row>
    <row r="248" spans="7:27" x14ac:dyDescent="0.25">
      <c r="G248" s="30"/>
      <c r="AA248" s="2"/>
    </row>
    <row r="249" spans="7:27" x14ac:dyDescent="0.25">
      <c r="G249" s="30"/>
      <c r="AA249" s="2"/>
    </row>
    <row r="250" spans="7:27" x14ac:dyDescent="0.25">
      <c r="G250" s="30"/>
      <c r="AA250" s="2"/>
    </row>
    <row r="251" spans="7:27" x14ac:dyDescent="0.25">
      <c r="G251" s="30"/>
      <c r="AA251" s="2"/>
    </row>
    <row r="252" spans="7:27" x14ac:dyDescent="0.25">
      <c r="G252" s="30"/>
      <c r="AA252" s="2"/>
    </row>
    <row r="253" spans="7:27" x14ac:dyDescent="0.25">
      <c r="G253" s="30"/>
      <c r="AA253" s="2"/>
    </row>
    <row r="254" spans="7:27" x14ac:dyDescent="0.25">
      <c r="G254" s="30"/>
      <c r="AA254" s="2"/>
    </row>
    <row r="255" spans="7:27" x14ac:dyDescent="0.25">
      <c r="G255" s="30"/>
      <c r="AA255" s="2"/>
    </row>
    <row r="256" spans="7:27" x14ac:dyDescent="0.25">
      <c r="G256" s="30"/>
      <c r="AA256" s="2"/>
    </row>
    <row r="257" spans="7:27" x14ac:dyDescent="0.25">
      <c r="G257" s="30"/>
      <c r="AA257" s="2"/>
    </row>
    <row r="258" spans="7:27" x14ac:dyDescent="0.25">
      <c r="G258" s="30"/>
      <c r="AA258" s="2"/>
    </row>
    <row r="259" spans="7:27" x14ac:dyDescent="0.25">
      <c r="G259" s="30"/>
      <c r="AA259" s="2"/>
    </row>
    <row r="260" spans="7:27" x14ac:dyDescent="0.25">
      <c r="G260" s="30"/>
      <c r="AA260" s="2"/>
    </row>
    <row r="261" spans="7:27" x14ac:dyDescent="0.25">
      <c r="G261" s="30"/>
      <c r="AA261" s="2"/>
    </row>
    <row r="262" spans="7:27" x14ac:dyDescent="0.25">
      <c r="G262" s="30"/>
      <c r="AA262" s="2"/>
    </row>
    <row r="263" spans="7:27" x14ac:dyDescent="0.25">
      <c r="G263" s="30"/>
      <c r="AA263" s="2"/>
    </row>
    <row r="264" spans="7:27" x14ac:dyDescent="0.25">
      <c r="G264" s="30"/>
      <c r="AA264" s="2"/>
    </row>
    <row r="265" spans="7:27" x14ac:dyDescent="0.25">
      <c r="G265" s="30"/>
      <c r="AA265" s="2"/>
    </row>
    <row r="266" spans="7:27" x14ac:dyDescent="0.25">
      <c r="G266" s="30"/>
      <c r="AA266" s="2"/>
    </row>
    <row r="267" spans="7:27" x14ac:dyDescent="0.25">
      <c r="G267" s="30"/>
      <c r="AA267" s="2"/>
    </row>
    <row r="268" spans="7:27" x14ac:dyDescent="0.25">
      <c r="G268" s="30"/>
      <c r="AA268" s="2"/>
    </row>
    <row r="269" spans="7:27" x14ac:dyDescent="0.25">
      <c r="G269" s="30"/>
      <c r="AA269" s="2"/>
    </row>
    <row r="270" spans="7:27" x14ac:dyDescent="0.25">
      <c r="G270" s="30"/>
      <c r="AA270" s="2"/>
    </row>
    <row r="271" spans="7:27" x14ac:dyDescent="0.25">
      <c r="G271" s="30"/>
      <c r="AA271" s="2"/>
    </row>
    <row r="272" spans="7:27" x14ac:dyDescent="0.25">
      <c r="G272" s="30"/>
      <c r="AA272" s="2"/>
    </row>
    <row r="273" spans="7:27" x14ac:dyDescent="0.25">
      <c r="G273" s="30"/>
      <c r="AA273" s="2"/>
    </row>
  </sheetData>
  <mergeCells count="12">
    <mergeCell ref="B11:R49"/>
    <mergeCell ref="A54:A92"/>
    <mergeCell ref="B54:R92"/>
    <mergeCell ref="B97:R135"/>
    <mergeCell ref="A99:A131"/>
    <mergeCell ref="E1:O3"/>
    <mergeCell ref="E4:E5"/>
    <mergeCell ref="F4:O5"/>
    <mergeCell ref="E6:E7"/>
    <mergeCell ref="F6:O7"/>
    <mergeCell ref="E8:E9"/>
    <mergeCell ref="F8:O9"/>
  </mergeCells>
  <pageMargins left="0.19685039370078741" right="0.19685039370078741" top="0.19685039370078741" bottom="0.19685039370078741" header="0" footer="0.35433070866141736"/>
  <pageSetup paperSize="9" scale="39" fitToHeight="3" orientation="portrait" horizontalDpi="1200" verticalDpi="1200" r:id="rId1"/>
  <headerFooter alignWithMargins="0">
    <oddFooter xml:space="preserve">&amp;C&amp;18Tooshop | M. Santos | &amp;D&amp;R&amp;18Página &amp;P de &amp;N         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D273"/>
  <sheetViews>
    <sheetView view="pageBreakPreview" zoomScale="37" zoomScaleNormal="70" zoomScaleSheetLayoutView="37" workbookViewId="0">
      <selection activeCell="T57" sqref="T57"/>
    </sheetView>
  </sheetViews>
  <sheetFormatPr defaultRowHeight="15" x14ac:dyDescent="0.25"/>
  <cols>
    <col min="1" max="1" width="4.7109375" style="2" customWidth="1"/>
    <col min="2" max="2" width="9.140625" style="2"/>
    <col min="3" max="4" width="15.7109375" style="2" customWidth="1"/>
    <col min="5" max="5" width="30.7109375" style="2" customWidth="1"/>
    <col min="6" max="6" width="18.7109375" style="2" customWidth="1"/>
    <col min="7" max="13" width="9.140625" style="2"/>
    <col min="14" max="14" width="25.7109375" style="2" customWidth="1"/>
    <col min="15" max="15" width="30.7109375" style="2" customWidth="1"/>
    <col min="16" max="17" width="15.7109375" style="2" customWidth="1"/>
    <col min="18" max="18" width="9.140625" style="2" customWidth="1"/>
    <col min="19" max="19" width="4.5703125" style="2" customWidth="1"/>
    <col min="20" max="20" width="50.140625" style="2" customWidth="1"/>
    <col min="21" max="21" width="6.85546875" style="2" customWidth="1"/>
    <col min="22" max="22" width="6.5703125" style="2" customWidth="1"/>
    <col min="23" max="23" width="6.7109375" style="2" customWidth="1"/>
    <col min="24" max="24" width="7.28515625" style="2" customWidth="1"/>
    <col min="25" max="25" width="9.140625" style="2"/>
    <col min="26" max="26" width="39" style="2" bestFit="1" customWidth="1"/>
    <col min="27" max="27" width="13.5703125" style="30" bestFit="1" customWidth="1"/>
    <col min="28" max="28" width="10.42578125" style="2" bestFit="1" customWidth="1"/>
    <col min="29" max="29" width="19.42578125" style="2" bestFit="1" customWidth="1"/>
    <col min="30" max="30" width="5.42578125" style="2" bestFit="1" customWidth="1"/>
    <col min="31" max="16384" width="9.140625" style="2"/>
  </cols>
  <sheetData>
    <row r="1" spans="1:30" ht="15" customHeight="1" x14ac:dyDescent="0.25">
      <c r="A1" s="13"/>
      <c r="B1" s="3"/>
      <c r="C1" s="3"/>
      <c r="D1" s="3"/>
      <c r="E1" s="116" t="s">
        <v>3</v>
      </c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3"/>
      <c r="Q1" s="3"/>
      <c r="R1" s="3"/>
      <c r="S1" s="4"/>
      <c r="T1" s="10"/>
      <c r="Z1" s="49" t="s">
        <v>4</v>
      </c>
      <c r="AA1" s="88"/>
      <c r="AB1" s="102"/>
      <c r="AC1" s="103"/>
      <c r="AD1" s="104"/>
    </row>
    <row r="2" spans="1:30" ht="15" customHeight="1" x14ac:dyDescent="0.25">
      <c r="A2" s="14"/>
      <c r="B2" s="56"/>
      <c r="C2" s="56"/>
      <c r="D2" s="56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58"/>
      <c r="Q2" s="56"/>
      <c r="R2" s="56"/>
      <c r="S2" s="6"/>
      <c r="Z2" s="50" t="s">
        <v>477</v>
      </c>
      <c r="AA2" s="89"/>
      <c r="AB2" s="95"/>
      <c r="AC2" s="95"/>
      <c r="AD2" s="105"/>
    </row>
    <row r="3" spans="1:30" ht="15" customHeight="1" x14ac:dyDescent="0.25">
      <c r="A3" s="14"/>
      <c r="B3" s="56"/>
      <c r="C3" s="56"/>
      <c r="D3" s="56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58"/>
      <c r="Q3" s="56"/>
      <c r="R3" s="56"/>
      <c r="S3" s="6"/>
      <c r="Z3" s="50" t="s">
        <v>476</v>
      </c>
      <c r="AA3" s="89">
        <v>1</v>
      </c>
      <c r="AB3" s="95"/>
      <c r="AC3" s="95"/>
      <c r="AD3" s="105"/>
    </row>
    <row r="4" spans="1:30" ht="15" customHeight="1" x14ac:dyDescent="0.25">
      <c r="A4" s="14"/>
      <c r="B4" s="56"/>
      <c r="C4" s="56"/>
      <c r="D4" s="56"/>
      <c r="E4" s="129" t="str">
        <f>"Projeto: "</f>
        <v xml:space="preserve">Projeto: </v>
      </c>
      <c r="F4" s="131" t="str">
        <f>T7</f>
        <v>MQB_A0</v>
      </c>
      <c r="G4" s="131"/>
      <c r="H4" s="131"/>
      <c r="I4" s="131"/>
      <c r="J4" s="131"/>
      <c r="K4" s="131"/>
      <c r="L4" s="131"/>
      <c r="M4" s="131"/>
      <c r="N4" s="131"/>
      <c r="O4" s="132"/>
      <c r="P4" s="58"/>
      <c r="Q4" s="56"/>
      <c r="R4" s="56"/>
      <c r="S4" s="6"/>
      <c r="Z4" s="50" t="s">
        <v>218</v>
      </c>
      <c r="AA4" s="89"/>
      <c r="AB4" s="95"/>
      <c r="AC4" s="95"/>
      <c r="AD4" s="105"/>
    </row>
    <row r="5" spans="1:30" ht="15" customHeight="1" x14ac:dyDescent="0.25">
      <c r="A5" s="80"/>
      <c r="B5" s="54"/>
      <c r="C5" s="55"/>
      <c r="D5" s="55"/>
      <c r="E5" s="130"/>
      <c r="F5" s="133"/>
      <c r="G5" s="133"/>
      <c r="H5" s="133"/>
      <c r="I5" s="133"/>
      <c r="J5" s="133"/>
      <c r="K5" s="133"/>
      <c r="L5" s="133"/>
      <c r="M5" s="133"/>
      <c r="N5" s="133"/>
      <c r="O5" s="134"/>
      <c r="P5" s="58"/>
      <c r="Q5" s="55"/>
      <c r="R5" s="55"/>
      <c r="S5" s="6"/>
      <c r="Z5" s="50" t="s">
        <v>475</v>
      </c>
      <c r="AA5" s="89">
        <v>1</v>
      </c>
      <c r="AB5" s="95"/>
      <c r="AC5" s="95"/>
      <c r="AD5" s="105"/>
    </row>
    <row r="6" spans="1:30" ht="15" customHeight="1" x14ac:dyDescent="0.25">
      <c r="A6" s="80"/>
      <c r="B6" s="54"/>
      <c r="C6" s="55"/>
      <c r="D6" s="55"/>
      <c r="E6" s="135" t="str">
        <f>"Peça: "</f>
        <v xml:space="preserve">Peça: </v>
      </c>
      <c r="F6" s="136" t="str">
        <f>T8</f>
        <v>2Q0.809.121_122</v>
      </c>
      <c r="G6" s="136"/>
      <c r="H6" s="136"/>
      <c r="I6" s="136"/>
      <c r="J6" s="136"/>
      <c r="K6" s="136"/>
      <c r="L6" s="136"/>
      <c r="M6" s="136"/>
      <c r="N6" s="136"/>
      <c r="O6" s="137"/>
      <c r="P6" s="58"/>
      <c r="Q6" s="55"/>
      <c r="R6" s="55"/>
      <c r="S6" s="6"/>
      <c r="T6" s="17" t="s">
        <v>359</v>
      </c>
      <c r="Z6" s="50" t="s">
        <v>249</v>
      </c>
      <c r="AA6" s="89"/>
      <c r="AB6" s="95"/>
      <c r="AC6" s="95"/>
      <c r="AD6" s="105"/>
    </row>
    <row r="7" spans="1:30" ht="15" customHeight="1" x14ac:dyDescent="0.25">
      <c r="A7" s="80"/>
      <c r="B7" s="54"/>
      <c r="C7" s="55"/>
      <c r="D7" s="55"/>
      <c r="E7" s="130"/>
      <c r="F7" s="133"/>
      <c r="G7" s="133"/>
      <c r="H7" s="133"/>
      <c r="I7" s="133"/>
      <c r="J7" s="133"/>
      <c r="K7" s="133"/>
      <c r="L7" s="133"/>
      <c r="M7" s="133"/>
      <c r="N7" s="133"/>
      <c r="O7" s="134"/>
      <c r="P7" s="55"/>
      <c r="Q7" s="55"/>
      <c r="R7" s="55"/>
      <c r="S7" s="6"/>
      <c r="T7" s="53" t="s">
        <v>74</v>
      </c>
      <c r="Z7" s="50" t="s">
        <v>2</v>
      </c>
      <c r="AA7" s="89">
        <f>SUM(AA2:AA6)</f>
        <v>2</v>
      </c>
      <c r="AB7" s="95">
        <f>SUM(AB2:AB6)</f>
        <v>0</v>
      </c>
      <c r="AC7" s="95"/>
      <c r="AD7" s="105"/>
    </row>
    <row r="8" spans="1:30" ht="15" customHeight="1" x14ac:dyDescent="0.25">
      <c r="A8" s="15"/>
      <c r="E8" s="135" t="str">
        <f>"Ano: "</f>
        <v xml:space="preserve">Ano: </v>
      </c>
      <c r="F8" s="136">
        <f>T9</f>
        <v>2017</v>
      </c>
      <c r="G8" s="136"/>
      <c r="H8" s="136"/>
      <c r="I8" s="136"/>
      <c r="J8" s="136"/>
      <c r="K8" s="136"/>
      <c r="L8" s="136"/>
      <c r="M8" s="136"/>
      <c r="N8" s="136"/>
      <c r="O8" s="137"/>
      <c r="S8" s="6"/>
      <c r="T8" s="2" t="s">
        <v>102</v>
      </c>
      <c r="Z8" s="48" t="s">
        <v>5</v>
      </c>
      <c r="AA8" s="90"/>
      <c r="AB8" s="106"/>
      <c r="AC8" s="106"/>
      <c r="AD8" s="107"/>
    </row>
    <row r="9" spans="1:30" ht="15" customHeight="1" x14ac:dyDescent="0.25">
      <c r="A9" s="81"/>
      <c r="B9" s="57"/>
      <c r="C9" s="57"/>
      <c r="D9" s="57"/>
      <c r="E9" s="130"/>
      <c r="F9" s="133"/>
      <c r="G9" s="133"/>
      <c r="H9" s="133"/>
      <c r="I9" s="133"/>
      <c r="J9" s="133"/>
      <c r="K9" s="133"/>
      <c r="L9" s="133"/>
      <c r="M9" s="133"/>
      <c r="N9" s="133"/>
      <c r="O9" s="134"/>
      <c r="P9" s="57"/>
      <c r="Q9" s="57"/>
      <c r="R9" s="57"/>
      <c r="S9" s="6"/>
      <c r="T9" s="2">
        <v>2017</v>
      </c>
      <c r="Z9" s="44" t="s">
        <v>8</v>
      </c>
      <c r="AA9" s="91"/>
      <c r="AB9" s="108"/>
      <c r="AC9" s="108"/>
      <c r="AD9" s="109"/>
    </row>
    <row r="10" spans="1:30" x14ac:dyDescent="0.25">
      <c r="A10" s="81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6"/>
      <c r="Z10" s="44" t="s">
        <v>7</v>
      </c>
      <c r="AA10" s="91"/>
      <c r="AB10" s="108"/>
      <c r="AC10" s="108"/>
      <c r="AD10" s="109"/>
    </row>
    <row r="11" spans="1:30" ht="15" customHeight="1" x14ac:dyDescent="0.25">
      <c r="A11" s="81"/>
      <c r="B11" s="118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6"/>
      <c r="Z11" s="44" t="s">
        <v>41</v>
      </c>
      <c r="AA11" s="91"/>
      <c r="AB11" s="108"/>
      <c r="AC11" s="108"/>
      <c r="AD11" s="109"/>
    </row>
    <row r="12" spans="1:30" ht="15" customHeight="1" x14ac:dyDescent="0.25">
      <c r="A12" s="81"/>
      <c r="B12" s="118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6"/>
      <c r="Z12" s="44" t="s">
        <v>40</v>
      </c>
      <c r="AA12" s="91"/>
      <c r="AB12" s="108"/>
      <c r="AC12" s="108"/>
      <c r="AD12" s="109"/>
    </row>
    <row r="13" spans="1:30" ht="15" customHeight="1" x14ac:dyDescent="0.25">
      <c r="A13" s="81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6"/>
      <c r="T13" s="12"/>
      <c r="Z13" s="44" t="s">
        <v>1</v>
      </c>
      <c r="AA13" s="91"/>
      <c r="AB13" s="108"/>
      <c r="AC13" s="108"/>
      <c r="AD13" s="109"/>
    </row>
    <row r="14" spans="1:30" ht="15" customHeight="1" x14ac:dyDescent="0.25">
      <c r="A14" s="81"/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6"/>
      <c r="T14" s="11"/>
      <c r="Z14" s="96" t="s">
        <v>356</v>
      </c>
      <c r="AA14" s="94"/>
      <c r="AB14" s="110"/>
      <c r="AC14" s="110"/>
      <c r="AD14" s="111"/>
    </row>
    <row r="15" spans="1:30" ht="15" customHeight="1" x14ac:dyDescent="0.25">
      <c r="A15" s="81"/>
      <c r="B15" s="118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6"/>
      <c r="Z15" s="45" t="s">
        <v>353</v>
      </c>
      <c r="AA15" s="98"/>
      <c r="AB15" s="99"/>
      <c r="AC15" s="100"/>
      <c r="AD15" s="101"/>
    </row>
    <row r="16" spans="1:30" ht="15" customHeight="1" x14ac:dyDescent="0.25">
      <c r="A16" s="81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6"/>
      <c r="Z16" s="45" t="s">
        <v>185</v>
      </c>
      <c r="AA16" s="98"/>
      <c r="AB16" s="99"/>
      <c r="AC16" s="100"/>
      <c r="AD16" s="101"/>
    </row>
    <row r="17" spans="1:30" x14ac:dyDescent="0.25">
      <c r="A17" s="81"/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6"/>
      <c r="Z17" s="45" t="s">
        <v>210</v>
      </c>
      <c r="AA17" s="98"/>
      <c r="AB17" s="99"/>
      <c r="AC17" s="100"/>
      <c r="AD17" s="101"/>
    </row>
    <row r="18" spans="1:30" x14ac:dyDescent="0.25">
      <c r="A18" s="81"/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6"/>
      <c r="Z18" s="45" t="s">
        <v>354</v>
      </c>
      <c r="AA18" s="98"/>
      <c r="AB18" s="99"/>
      <c r="AC18" s="100"/>
      <c r="AD18" s="101"/>
    </row>
    <row r="19" spans="1:30" x14ac:dyDescent="0.25">
      <c r="A19" s="81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6"/>
      <c r="Z19" s="45" t="s">
        <v>46</v>
      </c>
      <c r="AA19" s="98"/>
      <c r="AB19" s="99"/>
      <c r="AC19" s="100"/>
      <c r="AD19" s="101"/>
    </row>
    <row r="20" spans="1:30" x14ac:dyDescent="0.25">
      <c r="A20" s="81"/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6"/>
      <c r="Z20" s="45" t="s">
        <v>204</v>
      </c>
      <c r="AA20" s="98"/>
      <c r="AB20" s="99"/>
      <c r="AC20" s="100"/>
      <c r="AD20" s="101"/>
    </row>
    <row r="21" spans="1:30" x14ac:dyDescent="0.25">
      <c r="A21" s="81"/>
      <c r="B21" s="118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6"/>
      <c r="Z21" s="45" t="s">
        <v>143</v>
      </c>
      <c r="AA21" s="98"/>
      <c r="AB21" s="99"/>
      <c r="AC21" s="100"/>
      <c r="AD21" s="101">
        <v>1</v>
      </c>
    </row>
    <row r="22" spans="1:30" x14ac:dyDescent="0.25">
      <c r="A22" s="81"/>
      <c r="B22" s="118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6"/>
      <c r="Z22" s="45" t="s">
        <v>147</v>
      </c>
      <c r="AA22" s="98"/>
      <c r="AB22" s="99"/>
      <c r="AC22" s="100"/>
      <c r="AD22" s="101">
        <v>1</v>
      </c>
    </row>
    <row r="23" spans="1:30" x14ac:dyDescent="0.25">
      <c r="A23" s="81"/>
      <c r="B23" s="118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6"/>
      <c r="Z23" s="45" t="s">
        <v>57</v>
      </c>
      <c r="AA23" s="98"/>
      <c r="AB23" s="99"/>
      <c r="AC23" s="100"/>
      <c r="AD23" s="101"/>
    </row>
    <row r="24" spans="1:30" x14ac:dyDescent="0.25">
      <c r="A24" s="81"/>
      <c r="B24" s="11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6"/>
      <c r="Z24" s="46" t="s">
        <v>52</v>
      </c>
      <c r="AA24" s="98"/>
      <c r="AB24" s="99"/>
      <c r="AC24" s="100"/>
      <c r="AD24" s="101"/>
    </row>
    <row r="25" spans="1:30" x14ac:dyDescent="0.25">
      <c r="A25" s="81"/>
      <c r="B25" s="118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6"/>
      <c r="Z25" s="46"/>
      <c r="AA25" s="98"/>
      <c r="AB25" s="99"/>
      <c r="AC25" s="100"/>
      <c r="AD25" s="101"/>
    </row>
    <row r="26" spans="1:30" x14ac:dyDescent="0.25">
      <c r="A26" s="81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6"/>
      <c r="Z26" s="46"/>
      <c r="AA26" s="92"/>
      <c r="AB26" s="100"/>
      <c r="AC26" s="100"/>
      <c r="AD26" s="101"/>
    </row>
    <row r="27" spans="1:30" x14ac:dyDescent="0.25">
      <c r="A27" s="81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6"/>
      <c r="Z27" s="46"/>
      <c r="AA27" s="92"/>
      <c r="AB27" s="100"/>
      <c r="AC27" s="100"/>
      <c r="AD27" s="101"/>
    </row>
    <row r="28" spans="1:30" x14ac:dyDescent="0.25">
      <c r="A28" s="81"/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6"/>
      <c r="Z28" s="97"/>
      <c r="AA28" s="92" t="s">
        <v>8</v>
      </c>
      <c r="AB28" s="100" t="s">
        <v>7</v>
      </c>
      <c r="AC28" s="100" t="s">
        <v>41</v>
      </c>
      <c r="AD28" s="101" t="s">
        <v>479</v>
      </c>
    </row>
    <row r="29" spans="1:30" x14ac:dyDescent="0.25">
      <c r="A29" s="81"/>
      <c r="B29" s="118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6"/>
      <c r="Z29" s="46"/>
      <c r="AA29" s="92"/>
      <c r="AB29" s="100"/>
      <c r="AC29" s="100"/>
      <c r="AD29" s="101"/>
    </row>
    <row r="30" spans="1:30" x14ac:dyDescent="0.25">
      <c r="A30" s="81"/>
      <c r="B30" s="118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6"/>
      <c r="Z30" s="46"/>
      <c r="AA30" s="92"/>
      <c r="AB30" s="100"/>
      <c r="AC30" s="100"/>
      <c r="AD30" s="101"/>
    </row>
    <row r="31" spans="1:30" x14ac:dyDescent="0.25">
      <c r="A31" s="81"/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6"/>
      <c r="Z31" s="46"/>
      <c r="AA31" s="92"/>
      <c r="AB31" s="100"/>
      <c r="AC31" s="100"/>
      <c r="AD31" s="101"/>
    </row>
    <row r="32" spans="1:30" x14ac:dyDescent="0.25">
      <c r="A32" s="81"/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6"/>
      <c r="Z32" s="46"/>
      <c r="AA32" s="92"/>
      <c r="AB32" s="100"/>
      <c r="AC32" s="100"/>
      <c r="AD32" s="101"/>
    </row>
    <row r="33" spans="1:30" x14ac:dyDescent="0.25">
      <c r="A33" s="81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6"/>
      <c r="Z33" s="46"/>
      <c r="AA33" s="92"/>
      <c r="AB33" s="100"/>
      <c r="AC33" s="100"/>
      <c r="AD33" s="101"/>
    </row>
    <row r="34" spans="1:30" x14ac:dyDescent="0.25">
      <c r="A34" s="81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6"/>
      <c r="Z34" s="97"/>
      <c r="AA34" s="92"/>
      <c r="AB34" s="100"/>
      <c r="AC34" s="100"/>
      <c r="AD34" s="101"/>
    </row>
    <row r="35" spans="1:30" x14ac:dyDescent="0.25">
      <c r="A35" s="81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6"/>
      <c r="Z35" s="46"/>
      <c r="AA35" s="92"/>
      <c r="AB35" s="100"/>
      <c r="AC35" s="100"/>
      <c r="AD35" s="101"/>
    </row>
    <row r="36" spans="1:30" x14ac:dyDescent="0.25">
      <c r="A36" s="81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6"/>
      <c r="Z36" s="46"/>
      <c r="AA36" s="92"/>
      <c r="AB36" s="100"/>
      <c r="AC36" s="100"/>
      <c r="AD36" s="101"/>
    </row>
    <row r="37" spans="1:30" x14ac:dyDescent="0.25">
      <c r="A37" s="81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6"/>
      <c r="Z37" s="46"/>
      <c r="AA37" s="92"/>
      <c r="AB37" s="100"/>
      <c r="AC37" s="100"/>
      <c r="AD37" s="101"/>
    </row>
    <row r="38" spans="1:30" x14ac:dyDescent="0.25">
      <c r="A38" s="81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6"/>
      <c r="Z38" s="46"/>
      <c r="AA38" s="92"/>
      <c r="AB38" s="100"/>
      <c r="AC38" s="100"/>
      <c r="AD38" s="101"/>
    </row>
    <row r="39" spans="1:30" ht="15.75" thickBot="1" x14ac:dyDescent="0.3">
      <c r="A39" s="81"/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6"/>
      <c r="Z39" s="47"/>
      <c r="AA39" s="93"/>
      <c r="AB39" s="112"/>
      <c r="AC39" s="112"/>
      <c r="AD39" s="113"/>
    </row>
    <row r="40" spans="1:30" x14ac:dyDescent="0.25">
      <c r="A40" s="81"/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6"/>
    </row>
    <row r="41" spans="1:30" x14ac:dyDescent="0.25">
      <c r="A41" s="81"/>
      <c r="B41" s="118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6"/>
    </row>
    <row r="42" spans="1:30" x14ac:dyDescent="0.25">
      <c r="A42" s="5"/>
      <c r="B42" s="118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6"/>
    </row>
    <row r="43" spans="1:30" x14ac:dyDescent="0.25">
      <c r="A43" s="5"/>
      <c r="B43" s="118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6"/>
    </row>
    <row r="44" spans="1:30" x14ac:dyDescent="0.25">
      <c r="A44" s="5"/>
      <c r="B44" s="118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6"/>
    </row>
    <row r="45" spans="1:30" x14ac:dyDescent="0.25">
      <c r="A45" s="5"/>
      <c r="B45" s="118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8"/>
      <c r="Q45" s="118"/>
      <c r="R45" s="118"/>
      <c r="S45" s="6"/>
    </row>
    <row r="46" spans="1:30" x14ac:dyDescent="0.25">
      <c r="A46" s="15"/>
      <c r="B46" s="118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6"/>
    </row>
    <row r="47" spans="1:30" ht="15" customHeight="1" x14ac:dyDescent="0.25">
      <c r="A47" s="14"/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6"/>
    </row>
    <row r="48" spans="1:30" ht="15" customHeight="1" x14ac:dyDescent="0.25">
      <c r="A48" s="14"/>
      <c r="B48" s="118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6"/>
    </row>
    <row r="49" spans="1:19" ht="15" customHeight="1" x14ac:dyDescent="0.25">
      <c r="A49" s="14"/>
      <c r="B49" s="118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6"/>
    </row>
    <row r="50" spans="1:19" ht="15" customHeight="1" x14ac:dyDescent="0.25">
      <c r="A50" s="80"/>
      <c r="B50" s="54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6"/>
    </row>
    <row r="51" spans="1:19" ht="15" customHeight="1" x14ac:dyDescent="0.25">
      <c r="A51" s="80"/>
      <c r="B51" s="59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"/>
    </row>
    <row r="52" spans="1:19" ht="15" customHeight="1" x14ac:dyDescent="0.25">
      <c r="A52" s="80"/>
      <c r="B52" s="54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6"/>
    </row>
    <row r="53" spans="1:19" x14ac:dyDescent="0.25">
      <c r="A53" s="15"/>
      <c r="S53" s="6"/>
    </row>
    <row r="54" spans="1:19" ht="15" customHeight="1" x14ac:dyDescent="0.25">
      <c r="A54" s="127" t="s">
        <v>163</v>
      </c>
      <c r="B54" s="118"/>
      <c r="C54" s="118"/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6"/>
    </row>
    <row r="55" spans="1:19" x14ac:dyDescent="0.25">
      <c r="A55" s="127"/>
      <c r="B55" s="118"/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6"/>
    </row>
    <row r="56" spans="1:19" x14ac:dyDescent="0.25">
      <c r="A56" s="127"/>
      <c r="B56" s="118"/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6"/>
    </row>
    <row r="57" spans="1:19" x14ac:dyDescent="0.25">
      <c r="A57" s="127"/>
      <c r="B57" s="118"/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6"/>
    </row>
    <row r="58" spans="1:19" x14ac:dyDescent="0.25">
      <c r="A58" s="127"/>
      <c r="B58" s="118"/>
      <c r="C58" s="118"/>
      <c r="D58" s="118"/>
      <c r="E58" s="118"/>
      <c r="F58" s="118"/>
      <c r="G58" s="118"/>
      <c r="H58" s="118"/>
      <c r="I58" s="118"/>
      <c r="J58" s="118"/>
      <c r="K58" s="118"/>
      <c r="L58" s="118"/>
      <c r="M58" s="118"/>
      <c r="N58" s="118"/>
      <c r="O58" s="118"/>
      <c r="P58" s="118"/>
      <c r="Q58" s="118"/>
      <c r="R58" s="118"/>
      <c r="S58" s="6"/>
    </row>
    <row r="59" spans="1:19" x14ac:dyDescent="0.25">
      <c r="A59" s="127"/>
      <c r="B59" s="118"/>
      <c r="C59" s="118"/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6"/>
    </row>
    <row r="60" spans="1:19" x14ac:dyDescent="0.25">
      <c r="A60" s="127"/>
      <c r="B60" s="118"/>
      <c r="C60" s="118"/>
      <c r="D60" s="118"/>
      <c r="E60" s="118"/>
      <c r="F60" s="118"/>
      <c r="G60" s="118"/>
      <c r="H60" s="118"/>
      <c r="I60" s="118"/>
      <c r="J60" s="118"/>
      <c r="K60" s="118"/>
      <c r="L60" s="118"/>
      <c r="M60" s="118"/>
      <c r="N60" s="118"/>
      <c r="O60" s="118"/>
      <c r="P60" s="118"/>
      <c r="Q60" s="118"/>
      <c r="R60" s="118"/>
      <c r="S60" s="6"/>
    </row>
    <row r="61" spans="1:19" x14ac:dyDescent="0.25">
      <c r="A61" s="127"/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6"/>
    </row>
    <row r="62" spans="1:19" x14ac:dyDescent="0.25">
      <c r="A62" s="127"/>
      <c r="B62" s="118"/>
      <c r="C62" s="118"/>
      <c r="D62" s="118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6"/>
    </row>
    <row r="63" spans="1:19" x14ac:dyDescent="0.25">
      <c r="A63" s="127"/>
      <c r="B63" s="118"/>
      <c r="C63" s="118"/>
      <c r="D63" s="118"/>
      <c r="E63" s="118"/>
      <c r="F63" s="118"/>
      <c r="G63" s="118"/>
      <c r="H63" s="118"/>
      <c r="I63" s="118"/>
      <c r="J63" s="118"/>
      <c r="K63" s="118"/>
      <c r="L63" s="118"/>
      <c r="M63" s="118"/>
      <c r="N63" s="118"/>
      <c r="O63" s="118"/>
      <c r="P63" s="118"/>
      <c r="Q63" s="118"/>
      <c r="R63" s="118"/>
      <c r="S63" s="6"/>
    </row>
    <row r="64" spans="1:19" x14ac:dyDescent="0.25">
      <c r="A64" s="127"/>
      <c r="B64" s="118"/>
      <c r="C64" s="118"/>
      <c r="D64" s="118"/>
      <c r="E64" s="118"/>
      <c r="F64" s="118"/>
      <c r="G64" s="118"/>
      <c r="H64" s="118"/>
      <c r="I64" s="118"/>
      <c r="J64" s="118"/>
      <c r="K64" s="118"/>
      <c r="L64" s="118"/>
      <c r="M64" s="118"/>
      <c r="N64" s="118"/>
      <c r="O64" s="118"/>
      <c r="P64" s="118"/>
      <c r="Q64" s="118"/>
      <c r="R64" s="118"/>
      <c r="S64" s="6"/>
    </row>
    <row r="65" spans="1:19" x14ac:dyDescent="0.25">
      <c r="A65" s="127"/>
      <c r="B65" s="118"/>
      <c r="C65" s="118"/>
      <c r="D65" s="118"/>
      <c r="E65" s="118"/>
      <c r="F65" s="118"/>
      <c r="G65" s="118"/>
      <c r="H65" s="118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6"/>
    </row>
    <row r="66" spans="1:19" x14ac:dyDescent="0.25">
      <c r="A66" s="127"/>
      <c r="B66" s="118"/>
      <c r="C66" s="118"/>
      <c r="D66" s="118"/>
      <c r="E66" s="118"/>
      <c r="F66" s="118"/>
      <c r="G66" s="118"/>
      <c r="H66" s="118"/>
      <c r="I66" s="118"/>
      <c r="J66" s="118"/>
      <c r="K66" s="118"/>
      <c r="L66" s="118"/>
      <c r="M66" s="118"/>
      <c r="N66" s="118"/>
      <c r="O66" s="118"/>
      <c r="P66" s="118"/>
      <c r="Q66" s="118"/>
      <c r="R66" s="118"/>
      <c r="S66" s="6"/>
    </row>
    <row r="67" spans="1:19" x14ac:dyDescent="0.25">
      <c r="A67" s="127"/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6"/>
    </row>
    <row r="68" spans="1:19" x14ac:dyDescent="0.25">
      <c r="A68" s="127"/>
      <c r="B68" s="118"/>
      <c r="C68" s="118"/>
      <c r="D68" s="118"/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118"/>
      <c r="Q68" s="118"/>
      <c r="R68" s="118"/>
      <c r="S68" s="6"/>
    </row>
    <row r="69" spans="1:19" x14ac:dyDescent="0.25">
      <c r="A69" s="127"/>
      <c r="B69" s="118"/>
      <c r="C69" s="118"/>
      <c r="D69" s="118"/>
      <c r="E69" s="118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118"/>
      <c r="Q69" s="118"/>
      <c r="R69" s="118"/>
      <c r="S69" s="6"/>
    </row>
    <row r="70" spans="1:19" x14ac:dyDescent="0.25">
      <c r="A70" s="127"/>
      <c r="B70" s="118"/>
      <c r="C70" s="118"/>
      <c r="D70" s="118"/>
      <c r="E70" s="118"/>
      <c r="F70" s="118"/>
      <c r="G70" s="118"/>
      <c r="H70" s="118"/>
      <c r="I70" s="118"/>
      <c r="J70" s="118"/>
      <c r="K70" s="118"/>
      <c r="L70" s="118"/>
      <c r="M70" s="118"/>
      <c r="N70" s="118"/>
      <c r="O70" s="118"/>
      <c r="P70" s="118"/>
      <c r="Q70" s="118"/>
      <c r="R70" s="118"/>
      <c r="S70" s="6"/>
    </row>
    <row r="71" spans="1:19" x14ac:dyDescent="0.25">
      <c r="A71" s="127"/>
      <c r="B71" s="118"/>
      <c r="C71" s="118"/>
      <c r="D71" s="118"/>
      <c r="E71" s="118"/>
      <c r="F71" s="118"/>
      <c r="G71" s="118"/>
      <c r="H71" s="118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6"/>
    </row>
    <row r="72" spans="1:19" x14ac:dyDescent="0.25">
      <c r="A72" s="127"/>
      <c r="B72" s="118"/>
      <c r="C72" s="118"/>
      <c r="D72" s="118"/>
      <c r="E72" s="118"/>
      <c r="F72" s="118"/>
      <c r="G72" s="118"/>
      <c r="H72" s="118"/>
      <c r="I72" s="118"/>
      <c r="J72" s="118"/>
      <c r="K72" s="118"/>
      <c r="L72" s="118"/>
      <c r="M72" s="118"/>
      <c r="N72" s="118"/>
      <c r="O72" s="118"/>
      <c r="P72" s="118"/>
      <c r="Q72" s="118"/>
      <c r="R72" s="118"/>
      <c r="S72" s="6"/>
    </row>
    <row r="73" spans="1:19" x14ac:dyDescent="0.25">
      <c r="A73" s="127"/>
      <c r="B73" s="118"/>
      <c r="C73" s="118"/>
      <c r="D73" s="118"/>
      <c r="E73" s="118"/>
      <c r="F73" s="118"/>
      <c r="G73" s="118"/>
      <c r="H73" s="118"/>
      <c r="I73" s="118"/>
      <c r="J73" s="118"/>
      <c r="K73" s="118"/>
      <c r="L73" s="118"/>
      <c r="M73" s="118"/>
      <c r="N73" s="118"/>
      <c r="O73" s="118"/>
      <c r="P73" s="118"/>
      <c r="Q73" s="118"/>
      <c r="R73" s="118"/>
      <c r="S73" s="6"/>
    </row>
    <row r="74" spans="1:19" x14ac:dyDescent="0.25">
      <c r="A74" s="127"/>
      <c r="B74" s="118"/>
      <c r="C74" s="118"/>
      <c r="D74" s="118"/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6"/>
    </row>
    <row r="75" spans="1:19" x14ac:dyDescent="0.25">
      <c r="A75" s="127"/>
      <c r="B75" s="118"/>
      <c r="C75" s="118"/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6"/>
    </row>
    <row r="76" spans="1:19" x14ac:dyDescent="0.25">
      <c r="A76" s="127"/>
      <c r="B76" s="118"/>
      <c r="C76" s="118"/>
      <c r="D76" s="118"/>
      <c r="E76" s="118"/>
      <c r="F76" s="118"/>
      <c r="G76" s="118"/>
      <c r="H76" s="118"/>
      <c r="I76" s="118"/>
      <c r="J76" s="118"/>
      <c r="K76" s="118"/>
      <c r="L76" s="118"/>
      <c r="M76" s="118"/>
      <c r="N76" s="118"/>
      <c r="O76" s="118"/>
      <c r="P76" s="118"/>
      <c r="Q76" s="118"/>
      <c r="R76" s="118"/>
      <c r="S76" s="6"/>
    </row>
    <row r="77" spans="1:19" x14ac:dyDescent="0.25">
      <c r="A77" s="127"/>
      <c r="B77" s="118"/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6"/>
    </row>
    <row r="78" spans="1:19" x14ac:dyDescent="0.25">
      <c r="A78" s="127"/>
      <c r="B78" s="118"/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6"/>
    </row>
    <row r="79" spans="1:19" x14ac:dyDescent="0.25">
      <c r="A79" s="127"/>
      <c r="B79" s="118"/>
      <c r="C79" s="118"/>
      <c r="D79" s="118"/>
      <c r="E79" s="118"/>
      <c r="F79" s="118"/>
      <c r="G79" s="118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6"/>
    </row>
    <row r="80" spans="1:19" x14ac:dyDescent="0.25">
      <c r="A80" s="127"/>
      <c r="B80" s="118"/>
      <c r="C80" s="118"/>
      <c r="D80" s="118"/>
      <c r="E80" s="118"/>
      <c r="F80" s="118"/>
      <c r="G80" s="118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6"/>
    </row>
    <row r="81" spans="1:26" x14ac:dyDescent="0.25">
      <c r="A81" s="127"/>
      <c r="B81" s="118"/>
      <c r="C81" s="118"/>
      <c r="D81" s="118"/>
      <c r="E81" s="118"/>
      <c r="F81" s="118"/>
      <c r="G81" s="118"/>
      <c r="H81" s="118"/>
      <c r="I81" s="118"/>
      <c r="J81" s="118"/>
      <c r="K81" s="118"/>
      <c r="L81" s="118"/>
      <c r="M81" s="118"/>
      <c r="N81" s="118"/>
      <c r="O81" s="118"/>
      <c r="P81" s="118"/>
      <c r="Q81" s="118"/>
      <c r="R81" s="118"/>
      <c r="S81" s="6"/>
    </row>
    <row r="82" spans="1:26" x14ac:dyDescent="0.25">
      <c r="A82" s="127"/>
      <c r="B82" s="118"/>
      <c r="C82" s="118"/>
      <c r="D82" s="118"/>
      <c r="E82" s="118"/>
      <c r="F82" s="118"/>
      <c r="G82" s="118"/>
      <c r="H82" s="118"/>
      <c r="I82" s="118"/>
      <c r="J82" s="118"/>
      <c r="K82" s="118"/>
      <c r="L82" s="118"/>
      <c r="M82" s="118"/>
      <c r="N82" s="118"/>
      <c r="O82" s="118"/>
      <c r="P82" s="118"/>
      <c r="Q82" s="118"/>
      <c r="R82" s="118"/>
      <c r="S82" s="6"/>
    </row>
    <row r="83" spans="1:26" x14ac:dyDescent="0.25">
      <c r="A83" s="127"/>
      <c r="B83" s="118"/>
      <c r="C83" s="118"/>
      <c r="D83" s="118"/>
      <c r="E83" s="118"/>
      <c r="F83" s="118"/>
      <c r="G83" s="118"/>
      <c r="H83" s="118"/>
      <c r="I83" s="118"/>
      <c r="J83" s="118"/>
      <c r="K83" s="118"/>
      <c r="L83" s="118"/>
      <c r="M83" s="118"/>
      <c r="N83" s="118"/>
      <c r="O83" s="118"/>
      <c r="P83" s="118"/>
      <c r="Q83" s="118"/>
      <c r="R83" s="118"/>
      <c r="S83" s="6"/>
    </row>
    <row r="84" spans="1:26" x14ac:dyDescent="0.25">
      <c r="A84" s="127"/>
      <c r="B84" s="118"/>
      <c r="C84" s="118"/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118"/>
      <c r="Q84" s="118"/>
      <c r="R84" s="118"/>
      <c r="S84" s="6"/>
    </row>
    <row r="85" spans="1:26" x14ac:dyDescent="0.25">
      <c r="A85" s="127"/>
      <c r="B85" s="118"/>
      <c r="C85" s="118"/>
      <c r="D85" s="118"/>
      <c r="E85" s="118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118"/>
      <c r="Q85" s="118"/>
      <c r="R85" s="118"/>
      <c r="S85" s="6"/>
    </row>
    <row r="86" spans="1:26" x14ac:dyDescent="0.25">
      <c r="A86" s="127"/>
      <c r="B86" s="118"/>
      <c r="C86" s="118"/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8"/>
      <c r="Q86" s="118"/>
      <c r="R86" s="118"/>
      <c r="S86" s="6"/>
      <c r="Z86" s="30"/>
    </row>
    <row r="87" spans="1:26" x14ac:dyDescent="0.25">
      <c r="A87" s="127"/>
      <c r="B87" s="118"/>
      <c r="C87" s="118"/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118"/>
      <c r="Q87" s="118"/>
      <c r="R87" s="118"/>
      <c r="S87" s="6"/>
    </row>
    <row r="88" spans="1:26" x14ac:dyDescent="0.25">
      <c r="A88" s="127"/>
      <c r="B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6"/>
    </row>
    <row r="89" spans="1:26" x14ac:dyDescent="0.25">
      <c r="A89" s="127"/>
      <c r="B89" s="11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18"/>
      <c r="O89" s="118"/>
      <c r="P89" s="118"/>
      <c r="Q89" s="118"/>
      <c r="R89" s="118"/>
      <c r="S89" s="6"/>
    </row>
    <row r="90" spans="1:26" x14ac:dyDescent="0.25">
      <c r="A90" s="127"/>
      <c r="B90" s="118"/>
      <c r="C90" s="118"/>
      <c r="D90" s="118"/>
      <c r="E90" s="118"/>
      <c r="F90" s="118"/>
      <c r="G90" s="118"/>
      <c r="H90" s="118"/>
      <c r="I90" s="118"/>
      <c r="J90" s="118"/>
      <c r="K90" s="118"/>
      <c r="L90" s="118"/>
      <c r="M90" s="118"/>
      <c r="N90" s="118"/>
      <c r="O90" s="118"/>
      <c r="P90" s="118"/>
      <c r="Q90" s="118"/>
      <c r="R90" s="118"/>
      <c r="S90" s="76"/>
    </row>
    <row r="91" spans="1:26" x14ac:dyDescent="0.25">
      <c r="A91" s="127"/>
      <c r="B91" s="118"/>
      <c r="C91" s="118"/>
      <c r="D91" s="118"/>
      <c r="E91" s="118"/>
      <c r="F91" s="118"/>
      <c r="G91" s="118"/>
      <c r="H91" s="118"/>
      <c r="I91" s="118"/>
      <c r="J91" s="118"/>
      <c r="K91" s="118"/>
      <c r="L91" s="118"/>
      <c r="M91" s="118"/>
      <c r="N91" s="118"/>
      <c r="O91" s="118"/>
      <c r="P91" s="118"/>
      <c r="Q91" s="118"/>
      <c r="R91" s="118"/>
      <c r="S91" s="77"/>
    </row>
    <row r="92" spans="1:26" ht="15" customHeight="1" x14ac:dyDescent="0.25">
      <c r="A92" s="127"/>
      <c r="B92" s="118"/>
      <c r="C92" s="118"/>
      <c r="D92" s="118"/>
      <c r="E92" s="118"/>
      <c r="F92" s="118"/>
      <c r="G92" s="118"/>
      <c r="H92" s="118"/>
      <c r="I92" s="118"/>
      <c r="J92" s="118"/>
      <c r="K92" s="118"/>
      <c r="L92" s="118"/>
      <c r="M92" s="118"/>
      <c r="N92" s="118"/>
      <c r="O92" s="118"/>
      <c r="P92" s="118"/>
      <c r="Q92" s="118"/>
      <c r="R92" s="118"/>
      <c r="S92" s="77"/>
    </row>
    <row r="93" spans="1:26" ht="15" customHeight="1" x14ac:dyDescent="0.25">
      <c r="A93" s="14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77"/>
    </row>
    <row r="94" spans="1:26" ht="15" customHeight="1" x14ac:dyDescent="0.25">
      <c r="A94" s="14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77"/>
    </row>
    <row r="95" spans="1:26" ht="15" customHeight="1" x14ac:dyDescent="0.25">
      <c r="A95" s="80"/>
      <c r="B95" s="54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77"/>
    </row>
    <row r="96" spans="1:26" ht="15" customHeight="1" x14ac:dyDescent="0.25">
      <c r="A96" s="80"/>
      <c r="B96" s="54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77"/>
    </row>
    <row r="97" spans="1:19" ht="15" customHeight="1" x14ac:dyDescent="0.25">
      <c r="A97" s="80"/>
      <c r="B97" s="125"/>
      <c r="C97" s="125"/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77"/>
    </row>
    <row r="98" spans="1:19" ht="15" customHeight="1" x14ac:dyDescent="0.25">
      <c r="A98" s="82"/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77"/>
    </row>
    <row r="99" spans="1:19" ht="15" customHeight="1" x14ac:dyDescent="0.25">
      <c r="A99" s="128"/>
      <c r="B99" s="125"/>
      <c r="C99" s="125"/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6"/>
    </row>
    <row r="100" spans="1:19" ht="15" customHeight="1" x14ac:dyDescent="0.25">
      <c r="A100" s="128"/>
      <c r="B100" s="125"/>
      <c r="C100" s="125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6"/>
    </row>
    <row r="101" spans="1:19" ht="15" customHeight="1" x14ac:dyDescent="0.25">
      <c r="A101" s="128"/>
      <c r="B101" s="125"/>
      <c r="C101" s="125"/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6"/>
    </row>
    <row r="102" spans="1:19" ht="15" customHeight="1" x14ac:dyDescent="0.25">
      <c r="A102" s="128"/>
      <c r="B102" s="125"/>
      <c r="C102" s="125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6"/>
    </row>
    <row r="103" spans="1:19" ht="15" customHeight="1" x14ac:dyDescent="0.25">
      <c r="A103" s="128"/>
      <c r="B103" s="125"/>
      <c r="C103" s="125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6"/>
    </row>
    <row r="104" spans="1:19" ht="15" customHeight="1" x14ac:dyDescent="0.25">
      <c r="A104" s="128"/>
      <c r="B104" s="125"/>
      <c r="C104" s="125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6"/>
    </row>
    <row r="105" spans="1:19" ht="15" customHeight="1" x14ac:dyDescent="0.25">
      <c r="A105" s="128"/>
      <c r="B105" s="125"/>
      <c r="C105" s="125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6"/>
    </row>
    <row r="106" spans="1:19" ht="15" customHeight="1" x14ac:dyDescent="0.25">
      <c r="A106" s="128"/>
      <c r="B106" s="125"/>
      <c r="C106" s="125"/>
      <c r="D106" s="125"/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6"/>
    </row>
    <row r="107" spans="1:19" ht="15" customHeight="1" x14ac:dyDescent="0.25">
      <c r="A107" s="128"/>
      <c r="B107" s="125"/>
      <c r="C107" s="125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6"/>
    </row>
    <row r="108" spans="1:19" ht="15" customHeight="1" x14ac:dyDescent="0.25">
      <c r="A108" s="128"/>
      <c r="B108" s="125"/>
      <c r="C108" s="125"/>
      <c r="D108" s="125"/>
      <c r="E108" s="125"/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6"/>
    </row>
    <row r="109" spans="1:19" ht="15" customHeight="1" x14ac:dyDescent="0.25">
      <c r="A109" s="128"/>
      <c r="B109" s="125"/>
      <c r="C109" s="125"/>
      <c r="D109" s="125"/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6"/>
    </row>
    <row r="110" spans="1:19" ht="15" customHeight="1" x14ac:dyDescent="0.25">
      <c r="A110" s="128"/>
      <c r="B110" s="125"/>
      <c r="C110" s="125"/>
      <c r="D110" s="125"/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6"/>
    </row>
    <row r="111" spans="1:19" ht="15" customHeight="1" x14ac:dyDescent="0.25">
      <c r="A111" s="128"/>
      <c r="B111" s="125"/>
      <c r="C111" s="125"/>
      <c r="D111" s="125"/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6"/>
    </row>
    <row r="112" spans="1:19" ht="15" customHeight="1" x14ac:dyDescent="0.25">
      <c r="A112" s="128"/>
      <c r="B112" s="125"/>
      <c r="C112" s="125"/>
      <c r="D112" s="125"/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6"/>
    </row>
    <row r="113" spans="1:19" ht="15" customHeight="1" x14ac:dyDescent="0.25">
      <c r="A113" s="128"/>
      <c r="B113" s="125"/>
      <c r="C113" s="125"/>
      <c r="D113" s="125"/>
      <c r="E113" s="125"/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6"/>
    </row>
    <row r="114" spans="1:19" ht="15" customHeight="1" x14ac:dyDescent="0.25">
      <c r="A114" s="128"/>
      <c r="B114" s="125"/>
      <c r="C114" s="125"/>
      <c r="D114" s="125"/>
      <c r="E114" s="125"/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6"/>
    </row>
    <row r="115" spans="1:19" ht="15" customHeight="1" x14ac:dyDescent="0.25">
      <c r="A115" s="128"/>
      <c r="B115" s="125"/>
      <c r="C115" s="125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6"/>
    </row>
    <row r="116" spans="1:19" ht="15" customHeight="1" x14ac:dyDescent="0.25">
      <c r="A116" s="128"/>
      <c r="B116" s="125"/>
      <c r="C116" s="125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6"/>
    </row>
    <row r="117" spans="1:19" ht="15" customHeight="1" x14ac:dyDescent="0.25">
      <c r="A117" s="128"/>
      <c r="B117" s="125"/>
      <c r="C117" s="125"/>
      <c r="D117" s="125"/>
      <c r="E117" s="125"/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6"/>
    </row>
    <row r="118" spans="1:19" ht="15" customHeight="1" x14ac:dyDescent="0.25">
      <c r="A118" s="128"/>
      <c r="B118" s="125"/>
      <c r="C118" s="125"/>
      <c r="D118" s="125"/>
      <c r="E118" s="125"/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6"/>
    </row>
    <row r="119" spans="1:19" ht="15" customHeight="1" x14ac:dyDescent="0.25">
      <c r="A119" s="128"/>
      <c r="B119" s="125"/>
      <c r="C119" s="125"/>
      <c r="D119" s="125"/>
      <c r="E119" s="125"/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6"/>
    </row>
    <row r="120" spans="1:19" ht="15" customHeight="1" x14ac:dyDescent="0.25">
      <c r="A120" s="128"/>
      <c r="B120" s="125"/>
      <c r="C120" s="125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6"/>
    </row>
    <row r="121" spans="1:19" ht="15" customHeight="1" x14ac:dyDescent="0.25">
      <c r="A121" s="128"/>
      <c r="B121" s="125"/>
      <c r="C121" s="125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6"/>
    </row>
    <row r="122" spans="1:19" ht="15" customHeight="1" x14ac:dyDescent="0.25">
      <c r="A122" s="128"/>
      <c r="B122" s="125"/>
      <c r="C122" s="125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6"/>
    </row>
    <row r="123" spans="1:19" ht="15" customHeight="1" x14ac:dyDescent="0.25">
      <c r="A123" s="128"/>
      <c r="B123" s="125"/>
      <c r="C123" s="125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6"/>
    </row>
    <row r="124" spans="1:19" ht="15" customHeight="1" x14ac:dyDescent="0.25">
      <c r="A124" s="128"/>
      <c r="B124" s="125"/>
      <c r="C124" s="125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6"/>
    </row>
    <row r="125" spans="1:19" ht="15" customHeight="1" x14ac:dyDescent="0.25">
      <c r="A125" s="128"/>
      <c r="B125" s="125"/>
      <c r="C125" s="125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6"/>
    </row>
    <row r="126" spans="1:19" ht="15" customHeight="1" x14ac:dyDescent="0.25">
      <c r="A126" s="128"/>
      <c r="B126" s="125"/>
      <c r="C126" s="125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6"/>
    </row>
    <row r="127" spans="1:19" ht="15" customHeight="1" x14ac:dyDescent="0.25">
      <c r="A127" s="128"/>
      <c r="B127" s="125"/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6"/>
    </row>
    <row r="128" spans="1:19" ht="15" customHeight="1" x14ac:dyDescent="0.25">
      <c r="A128" s="128"/>
      <c r="B128" s="125"/>
      <c r="C128" s="125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6"/>
    </row>
    <row r="129" spans="1:27" ht="15" customHeight="1" x14ac:dyDescent="0.25">
      <c r="A129" s="128"/>
      <c r="B129" s="125"/>
      <c r="C129" s="125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6"/>
    </row>
    <row r="130" spans="1:27" ht="15" customHeight="1" x14ac:dyDescent="0.25">
      <c r="A130" s="128"/>
      <c r="B130" s="125"/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6"/>
    </row>
    <row r="131" spans="1:27" ht="15" customHeight="1" x14ac:dyDescent="0.25">
      <c r="A131" s="128"/>
      <c r="B131" s="125"/>
      <c r="C131" s="125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6"/>
    </row>
    <row r="132" spans="1:27" ht="15" customHeight="1" x14ac:dyDescent="0.25">
      <c r="A132" s="5"/>
      <c r="B132" s="125"/>
      <c r="C132" s="125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6"/>
    </row>
    <row r="133" spans="1:27" ht="15" customHeight="1" x14ac:dyDescent="0.25">
      <c r="A133" s="5"/>
      <c r="B133" s="125"/>
      <c r="C133" s="125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6"/>
    </row>
    <row r="134" spans="1:27" ht="15" customHeight="1" x14ac:dyDescent="0.25">
      <c r="A134" s="5"/>
      <c r="B134" s="125"/>
      <c r="C134" s="125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6"/>
    </row>
    <row r="135" spans="1:27" ht="15" customHeight="1" x14ac:dyDescent="0.25">
      <c r="A135" s="5"/>
      <c r="B135" s="125"/>
      <c r="C135" s="125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6"/>
    </row>
    <row r="136" spans="1:27" x14ac:dyDescent="0.25">
      <c r="A136" s="15"/>
      <c r="S136" s="6"/>
    </row>
    <row r="137" spans="1:27" ht="15" customHeight="1" x14ac:dyDescent="0.25">
      <c r="A137" s="14"/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6"/>
    </row>
    <row r="138" spans="1:27" ht="15" customHeight="1" x14ac:dyDescent="0.25">
      <c r="A138" s="14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6"/>
    </row>
    <row r="139" spans="1:27" ht="15" customHeight="1" x14ac:dyDescent="0.25">
      <c r="A139" s="14"/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6"/>
    </row>
    <row r="140" spans="1:27" ht="15" customHeight="1" x14ac:dyDescent="0.25">
      <c r="A140" s="80"/>
      <c r="B140" s="54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76"/>
    </row>
    <row r="141" spans="1:27" ht="15" customHeight="1" x14ac:dyDescent="0.25">
      <c r="A141" s="80"/>
      <c r="B141" s="54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76"/>
    </row>
    <row r="142" spans="1:27" ht="15" customHeight="1" x14ac:dyDescent="0.25">
      <c r="A142" s="83"/>
      <c r="B142" s="59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78"/>
    </row>
    <row r="143" spans="1:27" x14ac:dyDescent="0.25">
      <c r="G143" s="30"/>
      <c r="AA143" s="2"/>
    </row>
    <row r="144" spans="1:27" ht="15" customHeight="1" x14ac:dyDescent="0.25">
      <c r="G144" s="30"/>
      <c r="AA144" s="2"/>
    </row>
    <row r="145" spans="7:27" x14ac:dyDescent="0.25">
      <c r="G145" s="30"/>
      <c r="AA145" s="2"/>
    </row>
    <row r="146" spans="7:27" x14ac:dyDescent="0.25">
      <c r="G146" s="30"/>
      <c r="AA146" s="2"/>
    </row>
    <row r="147" spans="7:27" x14ac:dyDescent="0.25">
      <c r="G147" s="30"/>
      <c r="AA147" s="2"/>
    </row>
    <row r="148" spans="7:27" x14ac:dyDescent="0.25">
      <c r="G148" s="30"/>
      <c r="AA148" s="2"/>
    </row>
    <row r="149" spans="7:27" x14ac:dyDescent="0.25">
      <c r="G149" s="30"/>
      <c r="AA149" s="2"/>
    </row>
    <row r="150" spans="7:27" x14ac:dyDescent="0.25">
      <c r="G150" s="30"/>
      <c r="AA150" s="2"/>
    </row>
    <row r="151" spans="7:27" x14ac:dyDescent="0.25">
      <c r="G151" s="30"/>
      <c r="AA151" s="2"/>
    </row>
    <row r="152" spans="7:27" x14ac:dyDescent="0.25">
      <c r="G152" s="30"/>
      <c r="AA152" s="2"/>
    </row>
    <row r="153" spans="7:27" x14ac:dyDescent="0.25">
      <c r="G153" s="30"/>
      <c r="AA153" s="2"/>
    </row>
    <row r="154" spans="7:27" x14ac:dyDescent="0.25">
      <c r="G154" s="30"/>
      <c r="AA154" s="2"/>
    </row>
    <row r="155" spans="7:27" x14ac:dyDescent="0.25">
      <c r="G155" s="30"/>
      <c r="AA155" s="2"/>
    </row>
    <row r="156" spans="7:27" x14ac:dyDescent="0.25">
      <c r="G156" s="30"/>
      <c r="AA156" s="2"/>
    </row>
    <row r="157" spans="7:27" x14ac:dyDescent="0.25">
      <c r="G157" s="30"/>
      <c r="AA157" s="2"/>
    </row>
    <row r="158" spans="7:27" x14ac:dyDescent="0.25">
      <c r="G158" s="30"/>
      <c r="AA158" s="2"/>
    </row>
    <row r="159" spans="7:27" x14ac:dyDescent="0.25">
      <c r="G159" s="30"/>
      <c r="AA159" s="2"/>
    </row>
    <row r="160" spans="7:27" x14ac:dyDescent="0.25">
      <c r="G160" s="30"/>
      <c r="AA160" s="2"/>
    </row>
    <row r="161" spans="7:27" x14ac:dyDescent="0.25">
      <c r="G161" s="30"/>
      <c r="AA161" s="2"/>
    </row>
    <row r="162" spans="7:27" x14ac:dyDescent="0.25">
      <c r="G162" s="30"/>
      <c r="AA162" s="2"/>
    </row>
    <row r="163" spans="7:27" x14ac:dyDescent="0.25">
      <c r="G163" s="30"/>
      <c r="AA163" s="2"/>
    </row>
    <row r="164" spans="7:27" x14ac:dyDescent="0.25">
      <c r="G164" s="30"/>
      <c r="AA164" s="2"/>
    </row>
    <row r="165" spans="7:27" x14ac:dyDescent="0.25">
      <c r="G165" s="30"/>
      <c r="AA165" s="2"/>
    </row>
    <row r="166" spans="7:27" x14ac:dyDescent="0.25">
      <c r="G166" s="30"/>
      <c r="AA166" s="2"/>
    </row>
    <row r="167" spans="7:27" x14ac:dyDescent="0.25">
      <c r="G167" s="30"/>
      <c r="AA167" s="2"/>
    </row>
    <row r="168" spans="7:27" x14ac:dyDescent="0.25">
      <c r="G168" s="30"/>
      <c r="AA168" s="2"/>
    </row>
    <row r="169" spans="7:27" x14ac:dyDescent="0.25">
      <c r="G169" s="30"/>
      <c r="AA169" s="2"/>
    </row>
    <row r="170" spans="7:27" x14ac:dyDescent="0.25">
      <c r="G170" s="30"/>
      <c r="AA170" s="2"/>
    </row>
    <row r="171" spans="7:27" x14ac:dyDescent="0.25">
      <c r="G171" s="30"/>
      <c r="AA171" s="2"/>
    </row>
    <row r="172" spans="7:27" x14ac:dyDescent="0.25">
      <c r="G172" s="30"/>
      <c r="AA172" s="2"/>
    </row>
    <row r="173" spans="7:27" x14ac:dyDescent="0.25">
      <c r="G173" s="30"/>
      <c r="AA173" s="2"/>
    </row>
    <row r="174" spans="7:27" x14ac:dyDescent="0.25">
      <c r="G174" s="30"/>
      <c r="AA174" s="2"/>
    </row>
    <row r="175" spans="7:27" x14ac:dyDescent="0.25">
      <c r="G175" s="30"/>
      <c r="AA175" s="2"/>
    </row>
    <row r="176" spans="7:27" x14ac:dyDescent="0.25">
      <c r="G176" s="30"/>
      <c r="AA176" s="2"/>
    </row>
    <row r="177" spans="7:27" x14ac:dyDescent="0.25">
      <c r="G177" s="30"/>
      <c r="AA177" s="2"/>
    </row>
    <row r="178" spans="7:27" x14ac:dyDescent="0.25">
      <c r="G178" s="30"/>
      <c r="AA178" s="2"/>
    </row>
    <row r="179" spans="7:27" x14ac:dyDescent="0.25">
      <c r="G179" s="30"/>
      <c r="AA179" s="2"/>
    </row>
    <row r="180" spans="7:27" x14ac:dyDescent="0.25">
      <c r="G180" s="30"/>
      <c r="AA180" s="2"/>
    </row>
    <row r="181" spans="7:27" x14ac:dyDescent="0.25">
      <c r="G181" s="30"/>
      <c r="AA181" s="2"/>
    </row>
    <row r="182" spans="7:27" ht="15" customHeight="1" x14ac:dyDescent="0.25">
      <c r="G182" s="30"/>
      <c r="AA182" s="2"/>
    </row>
    <row r="183" spans="7:27" ht="15" customHeight="1" x14ac:dyDescent="0.25">
      <c r="G183" s="30"/>
      <c r="AA183" s="2"/>
    </row>
    <row r="184" spans="7:27" ht="15" customHeight="1" x14ac:dyDescent="0.25">
      <c r="G184" s="30"/>
      <c r="AA184" s="2"/>
    </row>
    <row r="185" spans="7:27" ht="15" customHeight="1" x14ac:dyDescent="0.25">
      <c r="G185" s="30"/>
      <c r="AA185" s="2"/>
    </row>
    <row r="186" spans="7:27" ht="15" customHeight="1" x14ac:dyDescent="0.25">
      <c r="G186" s="30"/>
      <c r="AA186" s="2"/>
    </row>
    <row r="187" spans="7:27" ht="15" customHeight="1" x14ac:dyDescent="0.25">
      <c r="G187" s="30"/>
      <c r="AA187" s="2"/>
    </row>
    <row r="188" spans="7:27" x14ac:dyDescent="0.25">
      <c r="G188" s="30"/>
      <c r="AA188" s="2"/>
    </row>
    <row r="189" spans="7:27" ht="15" customHeight="1" x14ac:dyDescent="0.25">
      <c r="G189" s="30"/>
      <c r="AA189" s="2"/>
    </row>
    <row r="190" spans="7:27" x14ac:dyDescent="0.25">
      <c r="G190" s="30"/>
      <c r="AA190" s="2"/>
    </row>
    <row r="191" spans="7:27" x14ac:dyDescent="0.25">
      <c r="G191" s="30"/>
      <c r="AA191" s="2"/>
    </row>
    <row r="192" spans="7:27" x14ac:dyDescent="0.25">
      <c r="G192" s="30"/>
      <c r="AA192" s="2"/>
    </row>
    <row r="193" spans="7:27" x14ac:dyDescent="0.25">
      <c r="G193" s="30"/>
      <c r="AA193" s="2"/>
    </row>
    <row r="194" spans="7:27" x14ac:dyDescent="0.25">
      <c r="G194" s="30"/>
      <c r="AA194" s="2"/>
    </row>
    <row r="195" spans="7:27" x14ac:dyDescent="0.25">
      <c r="G195" s="30"/>
      <c r="AA195" s="2"/>
    </row>
    <row r="196" spans="7:27" x14ac:dyDescent="0.25">
      <c r="G196" s="30"/>
      <c r="AA196" s="2"/>
    </row>
    <row r="197" spans="7:27" x14ac:dyDescent="0.25">
      <c r="G197" s="30"/>
      <c r="AA197" s="2"/>
    </row>
    <row r="198" spans="7:27" x14ac:dyDescent="0.25">
      <c r="G198" s="30"/>
      <c r="AA198" s="2"/>
    </row>
    <row r="199" spans="7:27" x14ac:dyDescent="0.25">
      <c r="G199" s="30"/>
      <c r="AA199" s="2"/>
    </row>
    <row r="200" spans="7:27" x14ac:dyDescent="0.25">
      <c r="G200" s="30"/>
      <c r="AA200" s="2"/>
    </row>
    <row r="201" spans="7:27" x14ac:dyDescent="0.25">
      <c r="G201" s="30"/>
      <c r="AA201" s="2"/>
    </row>
    <row r="202" spans="7:27" x14ac:dyDescent="0.25">
      <c r="G202" s="30"/>
      <c r="AA202" s="2"/>
    </row>
    <row r="203" spans="7:27" x14ac:dyDescent="0.25">
      <c r="G203" s="30"/>
      <c r="AA203" s="2"/>
    </row>
    <row r="204" spans="7:27" x14ac:dyDescent="0.25">
      <c r="G204" s="30"/>
      <c r="AA204" s="2"/>
    </row>
    <row r="205" spans="7:27" x14ac:dyDescent="0.25">
      <c r="G205" s="30"/>
      <c r="AA205" s="2"/>
    </row>
    <row r="206" spans="7:27" x14ac:dyDescent="0.25">
      <c r="G206" s="30"/>
      <c r="AA206" s="2"/>
    </row>
    <row r="207" spans="7:27" x14ac:dyDescent="0.25">
      <c r="G207" s="30"/>
      <c r="AA207" s="2"/>
    </row>
    <row r="208" spans="7:27" x14ac:dyDescent="0.25">
      <c r="G208" s="30"/>
      <c r="AA208" s="2"/>
    </row>
    <row r="209" spans="7:27" x14ac:dyDescent="0.25">
      <c r="G209" s="30"/>
      <c r="AA209" s="2"/>
    </row>
    <row r="210" spans="7:27" x14ac:dyDescent="0.25">
      <c r="G210" s="30"/>
      <c r="AA210" s="2"/>
    </row>
    <row r="211" spans="7:27" x14ac:dyDescent="0.25">
      <c r="G211" s="30"/>
      <c r="AA211" s="2"/>
    </row>
    <row r="212" spans="7:27" x14ac:dyDescent="0.25">
      <c r="G212" s="30"/>
      <c r="AA212" s="2"/>
    </row>
    <row r="213" spans="7:27" x14ac:dyDescent="0.25">
      <c r="G213" s="30"/>
      <c r="AA213" s="2"/>
    </row>
    <row r="214" spans="7:27" x14ac:dyDescent="0.25">
      <c r="G214" s="30"/>
      <c r="AA214" s="2"/>
    </row>
    <row r="215" spans="7:27" x14ac:dyDescent="0.25">
      <c r="G215" s="30"/>
      <c r="AA215" s="2"/>
    </row>
    <row r="216" spans="7:27" x14ac:dyDescent="0.25">
      <c r="G216" s="30"/>
      <c r="AA216" s="2"/>
    </row>
    <row r="217" spans="7:27" x14ac:dyDescent="0.25">
      <c r="G217" s="30"/>
      <c r="AA217" s="2"/>
    </row>
    <row r="218" spans="7:27" x14ac:dyDescent="0.25">
      <c r="G218" s="30"/>
      <c r="AA218" s="2"/>
    </row>
    <row r="219" spans="7:27" x14ac:dyDescent="0.25">
      <c r="G219" s="30"/>
      <c r="AA219" s="2"/>
    </row>
    <row r="220" spans="7:27" x14ac:dyDescent="0.25">
      <c r="G220" s="30"/>
      <c r="AA220" s="2"/>
    </row>
    <row r="221" spans="7:27" x14ac:dyDescent="0.25">
      <c r="G221" s="30"/>
      <c r="AA221" s="2"/>
    </row>
    <row r="222" spans="7:27" x14ac:dyDescent="0.25">
      <c r="G222" s="30"/>
      <c r="AA222" s="2"/>
    </row>
    <row r="223" spans="7:27" x14ac:dyDescent="0.25">
      <c r="G223" s="30"/>
      <c r="AA223" s="2"/>
    </row>
    <row r="224" spans="7:27" x14ac:dyDescent="0.25">
      <c r="G224" s="30"/>
      <c r="AA224" s="2"/>
    </row>
    <row r="225" spans="7:27" x14ac:dyDescent="0.25">
      <c r="G225" s="30"/>
      <c r="AA225" s="2"/>
    </row>
    <row r="226" spans="7:27" x14ac:dyDescent="0.25">
      <c r="G226" s="30"/>
      <c r="AA226" s="2"/>
    </row>
    <row r="227" spans="7:27" ht="15" customHeight="1" x14ac:dyDescent="0.25">
      <c r="G227" s="30"/>
      <c r="AA227" s="2"/>
    </row>
    <row r="228" spans="7:27" ht="15" customHeight="1" x14ac:dyDescent="0.25">
      <c r="G228" s="30"/>
      <c r="AA228" s="2"/>
    </row>
    <row r="229" spans="7:27" ht="15" customHeight="1" x14ac:dyDescent="0.25">
      <c r="G229" s="30"/>
      <c r="AA229" s="2"/>
    </row>
    <row r="230" spans="7:27" ht="15" customHeight="1" x14ac:dyDescent="0.25">
      <c r="G230" s="30"/>
      <c r="AA230" s="2"/>
    </row>
    <row r="231" spans="7:27" ht="15" customHeight="1" x14ac:dyDescent="0.25">
      <c r="G231" s="30"/>
      <c r="AA231" s="2"/>
    </row>
    <row r="232" spans="7:27" ht="15" customHeight="1" x14ac:dyDescent="0.25">
      <c r="G232" s="30"/>
      <c r="AA232" s="2"/>
    </row>
    <row r="233" spans="7:27" x14ac:dyDescent="0.25">
      <c r="G233" s="30"/>
      <c r="AA233" s="2"/>
    </row>
    <row r="234" spans="7:27" ht="15" customHeight="1" x14ac:dyDescent="0.25">
      <c r="G234" s="30"/>
      <c r="AA234" s="2"/>
    </row>
    <row r="235" spans="7:27" x14ac:dyDescent="0.25">
      <c r="G235" s="30"/>
      <c r="AA235" s="2"/>
    </row>
    <row r="236" spans="7:27" x14ac:dyDescent="0.25">
      <c r="G236" s="30"/>
      <c r="AA236" s="2"/>
    </row>
    <row r="237" spans="7:27" x14ac:dyDescent="0.25">
      <c r="G237" s="30"/>
      <c r="AA237" s="2"/>
    </row>
    <row r="238" spans="7:27" x14ac:dyDescent="0.25">
      <c r="G238" s="30"/>
      <c r="AA238" s="2"/>
    </row>
    <row r="239" spans="7:27" x14ac:dyDescent="0.25">
      <c r="G239" s="30"/>
      <c r="AA239" s="2"/>
    </row>
    <row r="240" spans="7:27" x14ac:dyDescent="0.25">
      <c r="G240" s="30"/>
      <c r="AA240" s="2"/>
    </row>
    <row r="241" spans="7:27" x14ac:dyDescent="0.25">
      <c r="G241" s="30"/>
      <c r="AA241" s="2"/>
    </row>
    <row r="242" spans="7:27" x14ac:dyDescent="0.25">
      <c r="G242" s="30"/>
      <c r="AA242" s="2"/>
    </row>
    <row r="243" spans="7:27" x14ac:dyDescent="0.25">
      <c r="G243" s="30"/>
      <c r="AA243" s="2"/>
    </row>
    <row r="244" spans="7:27" x14ac:dyDescent="0.25">
      <c r="G244" s="30"/>
      <c r="AA244" s="2"/>
    </row>
    <row r="245" spans="7:27" x14ac:dyDescent="0.25">
      <c r="G245" s="30"/>
      <c r="AA245" s="2"/>
    </row>
    <row r="246" spans="7:27" x14ac:dyDescent="0.25">
      <c r="G246" s="30"/>
      <c r="AA246" s="2"/>
    </row>
    <row r="247" spans="7:27" x14ac:dyDescent="0.25">
      <c r="G247" s="30"/>
      <c r="AA247" s="2"/>
    </row>
    <row r="248" spans="7:27" x14ac:dyDescent="0.25">
      <c r="G248" s="30"/>
      <c r="AA248" s="2"/>
    </row>
    <row r="249" spans="7:27" x14ac:dyDescent="0.25">
      <c r="G249" s="30"/>
      <c r="AA249" s="2"/>
    </row>
    <row r="250" spans="7:27" x14ac:dyDescent="0.25">
      <c r="G250" s="30"/>
      <c r="AA250" s="2"/>
    </row>
    <row r="251" spans="7:27" x14ac:dyDescent="0.25">
      <c r="G251" s="30"/>
      <c r="AA251" s="2"/>
    </row>
    <row r="252" spans="7:27" x14ac:dyDescent="0.25">
      <c r="G252" s="30"/>
      <c r="AA252" s="2"/>
    </row>
    <row r="253" spans="7:27" x14ac:dyDescent="0.25">
      <c r="G253" s="30"/>
      <c r="AA253" s="2"/>
    </row>
    <row r="254" spans="7:27" x14ac:dyDescent="0.25">
      <c r="G254" s="30"/>
      <c r="AA254" s="2"/>
    </row>
    <row r="255" spans="7:27" x14ac:dyDescent="0.25">
      <c r="G255" s="30"/>
      <c r="AA255" s="2"/>
    </row>
    <row r="256" spans="7:27" x14ac:dyDescent="0.25">
      <c r="G256" s="30"/>
      <c r="AA256" s="2"/>
    </row>
    <row r="257" spans="7:27" x14ac:dyDescent="0.25">
      <c r="G257" s="30"/>
      <c r="AA257" s="2"/>
    </row>
    <row r="258" spans="7:27" x14ac:dyDescent="0.25">
      <c r="G258" s="30"/>
      <c r="AA258" s="2"/>
    </row>
    <row r="259" spans="7:27" x14ac:dyDescent="0.25">
      <c r="G259" s="30"/>
      <c r="AA259" s="2"/>
    </row>
    <row r="260" spans="7:27" x14ac:dyDescent="0.25">
      <c r="G260" s="30"/>
      <c r="AA260" s="2"/>
    </row>
    <row r="261" spans="7:27" x14ac:dyDescent="0.25">
      <c r="G261" s="30"/>
      <c r="AA261" s="2"/>
    </row>
    <row r="262" spans="7:27" x14ac:dyDescent="0.25">
      <c r="G262" s="30"/>
      <c r="AA262" s="2"/>
    </row>
    <row r="263" spans="7:27" x14ac:dyDescent="0.25">
      <c r="G263" s="30"/>
      <c r="AA263" s="2"/>
    </row>
    <row r="264" spans="7:27" x14ac:dyDescent="0.25">
      <c r="G264" s="30"/>
      <c r="AA264" s="2"/>
    </row>
    <row r="265" spans="7:27" x14ac:dyDescent="0.25">
      <c r="G265" s="30"/>
      <c r="AA265" s="2"/>
    </row>
    <row r="266" spans="7:27" x14ac:dyDescent="0.25">
      <c r="G266" s="30"/>
      <c r="AA266" s="2"/>
    </row>
    <row r="267" spans="7:27" x14ac:dyDescent="0.25">
      <c r="G267" s="30"/>
      <c r="AA267" s="2"/>
    </row>
    <row r="268" spans="7:27" x14ac:dyDescent="0.25">
      <c r="G268" s="30"/>
      <c r="AA268" s="2"/>
    </row>
    <row r="269" spans="7:27" x14ac:dyDescent="0.25">
      <c r="G269" s="30"/>
      <c r="AA269" s="2"/>
    </row>
    <row r="270" spans="7:27" x14ac:dyDescent="0.25">
      <c r="G270" s="30"/>
      <c r="AA270" s="2"/>
    </row>
    <row r="271" spans="7:27" x14ac:dyDescent="0.25">
      <c r="G271" s="30"/>
      <c r="AA271" s="2"/>
    </row>
    <row r="272" spans="7:27" x14ac:dyDescent="0.25">
      <c r="G272" s="30"/>
      <c r="AA272" s="2"/>
    </row>
    <row r="273" spans="7:27" x14ac:dyDescent="0.25">
      <c r="G273" s="30"/>
      <c r="AA273" s="2"/>
    </row>
  </sheetData>
  <mergeCells count="12">
    <mergeCell ref="B11:R49"/>
    <mergeCell ref="A54:A92"/>
    <mergeCell ref="B54:R92"/>
    <mergeCell ref="B97:R135"/>
    <mergeCell ref="A99:A131"/>
    <mergeCell ref="E1:O3"/>
    <mergeCell ref="E4:E5"/>
    <mergeCell ref="F4:O5"/>
    <mergeCell ref="E6:E7"/>
    <mergeCell ref="F6:O7"/>
    <mergeCell ref="E8:E9"/>
    <mergeCell ref="F8:O9"/>
  </mergeCells>
  <pageMargins left="0.19685039370078741" right="0.19685039370078741" top="0.19685039370078741" bottom="0.19685039370078741" header="0" footer="0.35433070866141736"/>
  <pageSetup paperSize="9" scale="39" fitToHeight="3" orientation="portrait" horizontalDpi="1200" verticalDpi="1200" r:id="rId1"/>
  <headerFooter alignWithMargins="0">
    <oddFooter xml:space="preserve">&amp;C&amp;18Tooshop | M. Santos | &amp;D&amp;R&amp;18Página &amp;P de &amp;N         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273"/>
  <sheetViews>
    <sheetView view="pageBreakPreview" zoomScale="37" zoomScaleNormal="70" zoomScaleSheetLayoutView="37" workbookViewId="0">
      <selection activeCell="T57" sqref="T57"/>
    </sheetView>
  </sheetViews>
  <sheetFormatPr defaultRowHeight="15" x14ac:dyDescent="0.25"/>
  <cols>
    <col min="1" max="1" width="4.7109375" style="2" customWidth="1"/>
    <col min="2" max="2" width="9.140625" style="2"/>
    <col min="3" max="4" width="15.7109375" style="2" customWidth="1"/>
    <col min="5" max="5" width="30.7109375" style="2" customWidth="1"/>
    <col min="6" max="6" width="18.7109375" style="2" customWidth="1"/>
    <col min="7" max="13" width="9.140625" style="2"/>
    <col min="14" max="14" width="25.7109375" style="2" customWidth="1"/>
    <col min="15" max="15" width="30.7109375" style="2" customWidth="1"/>
    <col min="16" max="17" width="15.7109375" style="2" customWidth="1"/>
    <col min="18" max="18" width="9.140625" style="2" customWidth="1"/>
    <col min="19" max="19" width="4.5703125" style="2" customWidth="1"/>
    <col min="20" max="20" width="50.140625" style="2" customWidth="1"/>
    <col min="21" max="21" width="6.85546875" style="2" customWidth="1"/>
    <col min="22" max="22" width="6.5703125" style="2" customWidth="1"/>
    <col min="23" max="23" width="6.7109375" style="2" customWidth="1"/>
    <col min="24" max="24" width="7.28515625" style="2" customWidth="1"/>
    <col min="25" max="25" width="9.140625" style="2"/>
    <col min="26" max="26" width="39" style="2" bestFit="1" customWidth="1"/>
    <col min="27" max="27" width="13.5703125" style="30" bestFit="1" customWidth="1"/>
    <col min="28" max="28" width="10.42578125" style="2" bestFit="1" customWidth="1"/>
    <col min="29" max="29" width="19.42578125" style="2" bestFit="1" customWidth="1"/>
    <col min="30" max="30" width="5.42578125" style="2" bestFit="1" customWidth="1"/>
    <col min="31" max="16384" width="9.140625" style="2"/>
  </cols>
  <sheetData>
    <row r="1" spans="1:30" ht="15" customHeight="1" x14ac:dyDescent="0.25">
      <c r="A1" s="13"/>
      <c r="B1" s="3"/>
      <c r="C1" s="3"/>
      <c r="D1" s="3"/>
      <c r="E1" s="116" t="s">
        <v>3</v>
      </c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3"/>
      <c r="Q1" s="3"/>
      <c r="R1" s="3"/>
      <c r="S1" s="4"/>
      <c r="T1" s="10"/>
      <c r="Z1" s="49" t="s">
        <v>4</v>
      </c>
      <c r="AA1" s="88"/>
      <c r="AB1" s="102"/>
      <c r="AC1" s="103"/>
      <c r="AD1" s="104"/>
    </row>
    <row r="2" spans="1:30" ht="15" customHeight="1" x14ac:dyDescent="0.25">
      <c r="A2" s="14"/>
      <c r="B2" s="56"/>
      <c r="C2" s="56"/>
      <c r="D2" s="56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58"/>
      <c r="Q2" s="56"/>
      <c r="R2" s="56"/>
      <c r="S2" s="6"/>
      <c r="Z2" s="50" t="s">
        <v>477</v>
      </c>
      <c r="AA2" s="89">
        <v>1</v>
      </c>
      <c r="AB2" s="95"/>
      <c r="AC2" s="95"/>
      <c r="AD2" s="105"/>
    </row>
    <row r="3" spans="1:30" ht="15" customHeight="1" x14ac:dyDescent="0.25">
      <c r="A3" s="14"/>
      <c r="B3" s="56"/>
      <c r="C3" s="56"/>
      <c r="D3" s="56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58"/>
      <c r="Q3" s="56"/>
      <c r="R3" s="56"/>
      <c r="S3" s="6"/>
      <c r="Z3" s="50" t="s">
        <v>476</v>
      </c>
      <c r="AA3" s="89"/>
      <c r="AB3" s="95"/>
      <c r="AC3" s="95"/>
      <c r="AD3" s="105"/>
    </row>
    <row r="4" spans="1:30" ht="15" customHeight="1" x14ac:dyDescent="0.25">
      <c r="A4" s="14"/>
      <c r="B4" s="56"/>
      <c r="C4" s="56"/>
      <c r="D4" s="56"/>
      <c r="E4" s="129" t="str">
        <f>"Projeto: "</f>
        <v xml:space="preserve">Projeto: </v>
      </c>
      <c r="F4" s="131" t="str">
        <f>T7</f>
        <v>MQB_A0</v>
      </c>
      <c r="G4" s="131"/>
      <c r="H4" s="131"/>
      <c r="I4" s="131"/>
      <c r="J4" s="131"/>
      <c r="K4" s="131"/>
      <c r="L4" s="131"/>
      <c r="M4" s="131"/>
      <c r="N4" s="131"/>
      <c r="O4" s="132"/>
      <c r="P4" s="58"/>
      <c r="Q4" s="56"/>
      <c r="R4" s="56"/>
      <c r="S4" s="6"/>
      <c r="Z4" s="50" t="s">
        <v>218</v>
      </c>
      <c r="AA4" s="89">
        <v>1</v>
      </c>
      <c r="AB4" s="95"/>
      <c r="AC4" s="95"/>
      <c r="AD4" s="105"/>
    </row>
    <row r="5" spans="1:30" ht="15" customHeight="1" x14ac:dyDescent="0.25">
      <c r="A5" s="80"/>
      <c r="B5" s="54"/>
      <c r="C5" s="55"/>
      <c r="D5" s="55"/>
      <c r="E5" s="130"/>
      <c r="F5" s="133"/>
      <c r="G5" s="133"/>
      <c r="H5" s="133"/>
      <c r="I5" s="133"/>
      <c r="J5" s="133"/>
      <c r="K5" s="133"/>
      <c r="L5" s="133"/>
      <c r="M5" s="133"/>
      <c r="N5" s="133"/>
      <c r="O5" s="134"/>
      <c r="P5" s="58"/>
      <c r="Q5" s="55"/>
      <c r="R5" s="55"/>
      <c r="S5" s="6"/>
      <c r="Z5" s="50" t="s">
        <v>475</v>
      </c>
      <c r="AA5" s="89">
        <v>1</v>
      </c>
      <c r="AB5" s="95"/>
      <c r="AC5" s="95"/>
      <c r="AD5" s="105"/>
    </row>
    <row r="6" spans="1:30" ht="15" customHeight="1" x14ac:dyDescent="0.25">
      <c r="A6" s="80"/>
      <c r="B6" s="54"/>
      <c r="C6" s="55"/>
      <c r="D6" s="55"/>
      <c r="E6" s="135" t="str">
        <f>"Peça: "</f>
        <v xml:space="preserve">Peça: </v>
      </c>
      <c r="F6" s="136" t="str">
        <f>T8</f>
        <v>2Q0.805.397_398</v>
      </c>
      <c r="G6" s="136"/>
      <c r="H6" s="136"/>
      <c r="I6" s="136"/>
      <c r="J6" s="136"/>
      <c r="K6" s="136"/>
      <c r="L6" s="136"/>
      <c r="M6" s="136"/>
      <c r="N6" s="136"/>
      <c r="O6" s="137"/>
      <c r="P6" s="58"/>
      <c r="Q6" s="55"/>
      <c r="R6" s="55"/>
      <c r="S6" s="6"/>
      <c r="T6" s="17" t="s">
        <v>358</v>
      </c>
      <c r="Z6" s="50" t="s">
        <v>249</v>
      </c>
      <c r="AA6" s="89"/>
      <c r="AB6" s="95"/>
      <c r="AC6" s="95"/>
      <c r="AD6" s="105"/>
    </row>
    <row r="7" spans="1:30" ht="15" customHeight="1" x14ac:dyDescent="0.25">
      <c r="A7" s="80"/>
      <c r="B7" s="54"/>
      <c r="C7" s="55"/>
      <c r="D7" s="55"/>
      <c r="E7" s="130"/>
      <c r="F7" s="133"/>
      <c r="G7" s="133"/>
      <c r="H7" s="133"/>
      <c r="I7" s="133"/>
      <c r="J7" s="133"/>
      <c r="K7" s="133"/>
      <c r="L7" s="133"/>
      <c r="M7" s="133"/>
      <c r="N7" s="133"/>
      <c r="O7" s="134"/>
      <c r="P7" s="55"/>
      <c r="Q7" s="55"/>
      <c r="R7" s="55"/>
      <c r="S7" s="6"/>
      <c r="T7" s="53" t="s">
        <v>74</v>
      </c>
      <c r="Z7" s="50" t="s">
        <v>2</v>
      </c>
      <c r="AA7" s="89">
        <f>SUM(AA2:AA6)</f>
        <v>3</v>
      </c>
      <c r="AB7" s="95">
        <f>SUM(AB2:AB6)</f>
        <v>0</v>
      </c>
      <c r="AC7" s="95"/>
      <c r="AD7" s="105"/>
    </row>
    <row r="8" spans="1:30" ht="15" customHeight="1" x14ac:dyDescent="0.25">
      <c r="A8" s="15"/>
      <c r="E8" s="135" t="str">
        <f>"Ano: "</f>
        <v xml:space="preserve">Ano: </v>
      </c>
      <c r="F8" s="136">
        <f>T9</f>
        <v>2017</v>
      </c>
      <c r="G8" s="136"/>
      <c r="H8" s="136"/>
      <c r="I8" s="136"/>
      <c r="J8" s="136"/>
      <c r="K8" s="136"/>
      <c r="L8" s="136"/>
      <c r="M8" s="136"/>
      <c r="N8" s="136"/>
      <c r="O8" s="137"/>
      <c r="S8" s="6"/>
      <c r="T8" s="2" t="s">
        <v>89</v>
      </c>
      <c r="Z8" s="48" t="s">
        <v>5</v>
      </c>
      <c r="AA8" s="90"/>
      <c r="AB8" s="106"/>
      <c r="AC8" s="106"/>
      <c r="AD8" s="107"/>
    </row>
    <row r="9" spans="1:30" ht="15" customHeight="1" x14ac:dyDescent="0.25">
      <c r="A9" s="81"/>
      <c r="B9" s="57"/>
      <c r="C9" s="57"/>
      <c r="D9" s="57"/>
      <c r="E9" s="130"/>
      <c r="F9" s="133"/>
      <c r="G9" s="133"/>
      <c r="H9" s="133"/>
      <c r="I9" s="133"/>
      <c r="J9" s="133"/>
      <c r="K9" s="133"/>
      <c r="L9" s="133"/>
      <c r="M9" s="133"/>
      <c r="N9" s="133"/>
      <c r="O9" s="134"/>
      <c r="P9" s="57"/>
      <c r="Q9" s="57"/>
      <c r="R9" s="57"/>
      <c r="S9" s="6"/>
      <c r="T9" s="2">
        <v>2017</v>
      </c>
      <c r="Z9" s="44" t="s">
        <v>8</v>
      </c>
      <c r="AA9" s="91">
        <v>1</v>
      </c>
      <c r="AB9" s="108"/>
      <c r="AC9" s="108"/>
      <c r="AD9" s="109"/>
    </row>
    <row r="10" spans="1:30" x14ac:dyDescent="0.25">
      <c r="A10" s="81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6"/>
      <c r="Z10" s="44" t="s">
        <v>7</v>
      </c>
      <c r="AA10" s="91"/>
      <c r="AB10" s="108"/>
      <c r="AC10" s="108"/>
      <c r="AD10" s="109"/>
    </row>
    <row r="11" spans="1:30" ht="15" customHeight="1" x14ac:dyDescent="0.25">
      <c r="A11" s="81"/>
      <c r="B11" s="118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6"/>
      <c r="Z11" s="44" t="s">
        <v>41</v>
      </c>
      <c r="AA11" s="91"/>
      <c r="AB11" s="108"/>
      <c r="AC11" s="108"/>
      <c r="AD11" s="109"/>
    </row>
    <row r="12" spans="1:30" ht="15" customHeight="1" x14ac:dyDescent="0.25">
      <c r="A12" s="81"/>
      <c r="B12" s="118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6"/>
      <c r="Z12" s="44" t="s">
        <v>40</v>
      </c>
      <c r="AA12" s="91"/>
      <c r="AB12" s="108"/>
      <c r="AC12" s="108"/>
      <c r="AD12" s="109"/>
    </row>
    <row r="13" spans="1:30" ht="15" customHeight="1" x14ac:dyDescent="0.25">
      <c r="A13" s="81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6"/>
      <c r="T13" s="12"/>
      <c r="Z13" s="44" t="s">
        <v>1</v>
      </c>
      <c r="AA13" s="91"/>
      <c r="AB13" s="108"/>
      <c r="AC13" s="108"/>
      <c r="AD13" s="109"/>
    </row>
    <row r="14" spans="1:30" ht="15" customHeight="1" x14ac:dyDescent="0.25">
      <c r="A14" s="81"/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6"/>
      <c r="T14" s="11"/>
      <c r="Z14" s="96" t="s">
        <v>356</v>
      </c>
      <c r="AA14" s="94"/>
      <c r="AB14" s="110"/>
      <c r="AC14" s="110"/>
      <c r="AD14" s="111"/>
    </row>
    <row r="15" spans="1:30" ht="15" customHeight="1" x14ac:dyDescent="0.25">
      <c r="A15" s="81"/>
      <c r="B15" s="118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6"/>
      <c r="Z15" s="45" t="s">
        <v>353</v>
      </c>
      <c r="AA15" s="98"/>
      <c r="AB15" s="99"/>
      <c r="AC15" s="100"/>
      <c r="AD15" s="101"/>
    </row>
    <row r="16" spans="1:30" ht="15" customHeight="1" x14ac:dyDescent="0.25">
      <c r="A16" s="81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6"/>
      <c r="Z16" s="45" t="s">
        <v>185</v>
      </c>
      <c r="AA16" s="98"/>
      <c r="AB16" s="99"/>
      <c r="AC16" s="100"/>
      <c r="AD16" s="101">
        <v>2</v>
      </c>
    </row>
    <row r="17" spans="1:30" x14ac:dyDescent="0.25">
      <c r="A17" s="81"/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6"/>
      <c r="Z17" s="45" t="s">
        <v>210</v>
      </c>
      <c r="AA17" s="98"/>
      <c r="AB17" s="99"/>
      <c r="AC17" s="100"/>
      <c r="AD17" s="101"/>
    </row>
    <row r="18" spans="1:30" x14ac:dyDescent="0.25">
      <c r="A18" s="81"/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6"/>
      <c r="Z18" s="45" t="s">
        <v>354</v>
      </c>
      <c r="AA18" s="98"/>
      <c r="AB18" s="99"/>
      <c r="AC18" s="100"/>
      <c r="AD18" s="101"/>
    </row>
    <row r="19" spans="1:30" x14ac:dyDescent="0.25">
      <c r="A19" s="81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6"/>
      <c r="Z19" s="45" t="s">
        <v>46</v>
      </c>
      <c r="AA19" s="98"/>
      <c r="AB19" s="99"/>
      <c r="AC19" s="100"/>
      <c r="AD19" s="101">
        <v>1</v>
      </c>
    </row>
    <row r="20" spans="1:30" x14ac:dyDescent="0.25">
      <c r="A20" s="81"/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6"/>
      <c r="Z20" s="45" t="s">
        <v>204</v>
      </c>
      <c r="AA20" s="98"/>
      <c r="AB20" s="99"/>
      <c r="AC20" s="100"/>
      <c r="AD20" s="101"/>
    </row>
    <row r="21" spans="1:30" x14ac:dyDescent="0.25">
      <c r="A21" s="81"/>
      <c r="B21" s="118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6"/>
      <c r="Z21" s="45" t="s">
        <v>143</v>
      </c>
      <c r="AA21" s="98"/>
      <c r="AB21" s="99"/>
      <c r="AC21" s="100"/>
      <c r="AD21" s="101"/>
    </row>
    <row r="22" spans="1:30" x14ac:dyDescent="0.25">
      <c r="A22" s="81"/>
      <c r="B22" s="118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6"/>
      <c r="Z22" s="45" t="s">
        <v>147</v>
      </c>
      <c r="AA22" s="98"/>
      <c r="AB22" s="99"/>
      <c r="AC22" s="100"/>
      <c r="AD22" s="101"/>
    </row>
    <row r="23" spans="1:30" x14ac:dyDescent="0.25">
      <c r="A23" s="81"/>
      <c r="B23" s="118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6"/>
      <c r="Z23" s="45" t="s">
        <v>57</v>
      </c>
      <c r="AA23" s="98"/>
      <c r="AB23" s="99"/>
      <c r="AC23" s="100"/>
      <c r="AD23" s="101"/>
    </row>
    <row r="24" spans="1:30" x14ac:dyDescent="0.25">
      <c r="A24" s="81"/>
      <c r="B24" s="11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6"/>
      <c r="Z24" s="46" t="s">
        <v>52</v>
      </c>
      <c r="AA24" s="98"/>
      <c r="AB24" s="99"/>
      <c r="AC24" s="100"/>
      <c r="AD24" s="101"/>
    </row>
    <row r="25" spans="1:30" x14ac:dyDescent="0.25">
      <c r="A25" s="81"/>
      <c r="B25" s="118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6"/>
      <c r="Z25" s="46"/>
      <c r="AA25" s="98"/>
      <c r="AB25" s="99"/>
      <c r="AC25" s="100"/>
      <c r="AD25" s="101"/>
    </row>
    <row r="26" spans="1:30" x14ac:dyDescent="0.25">
      <c r="A26" s="81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6"/>
      <c r="Z26" s="46"/>
      <c r="AA26" s="92"/>
      <c r="AB26" s="100"/>
      <c r="AC26" s="100"/>
      <c r="AD26" s="101"/>
    </row>
    <row r="27" spans="1:30" x14ac:dyDescent="0.25">
      <c r="A27" s="81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6"/>
      <c r="Z27" s="46"/>
      <c r="AA27" s="92"/>
      <c r="AB27" s="100"/>
      <c r="AC27" s="100"/>
      <c r="AD27" s="101"/>
    </row>
    <row r="28" spans="1:30" x14ac:dyDescent="0.25">
      <c r="A28" s="81"/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6"/>
      <c r="Z28" s="97"/>
      <c r="AA28" s="92" t="s">
        <v>8</v>
      </c>
      <c r="AB28" s="100" t="s">
        <v>7</v>
      </c>
      <c r="AC28" s="100" t="s">
        <v>41</v>
      </c>
      <c r="AD28" s="101" t="s">
        <v>479</v>
      </c>
    </row>
    <row r="29" spans="1:30" x14ac:dyDescent="0.25">
      <c r="A29" s="81"/>
      <c r="B29" s="118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6"/>
      <c r="Z29" s="46"/>
      <c r="AA29" s="92"/>
      <c r="AB29" s="100"/>
      <c r="AC29" s="100"/>
      <c r="AD29" s="101"/>
    </row>
    <row r="30" spans="1:30" x14ac:dyDescent="0.25">
      <c r="A30" s="81"/>
      <c r="B30" s="118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6"/>
      <c r="Z30" s="46"/>
      <c r="AA30" s="92"/>
      <c r="AB30" s="100"/>
      <c r="AC30" s="100"/>
      <c r="AD30" s="101"/>
    </row>
    <row r="31" spans="1:30" x14ac:dyDescent="0.25">
      <c r="A31" s="81"/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6"/>
      <c r="Z31" s="46"/>
      <c r="AA31" s="92"/>
      <c r="AB31" s="100"/>
      <c r="AC31" s="100"/>
      <c r="AD31" s="101"/>
    </row>
    <row r="32" spans="1:30" x14ac:dyDescent="0.25">
      <c r="A32" s="81"/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6"/>
      <c r="Z32" s="46"/>
      <c r="AA32" s="92"/>
      <c r="AB32" s="100"/>
      <c r="AC32" s="100"/>
      <c r="AD32" s="101"/>
    </row>
    <row r="33" spans="1:30" x14ac:dyDescent="0.25">
      <c r="A33" s="81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6"/>
      <c r="Z33" s="46"/>
      <c r="AA33" s="92"/>
      <c r="AB33" s="100"/>
      <c r="AC33" s="100"/>
      <c r="AD33" s="101"/>
    </row>
    <row r="34" spans="1:30" x14ac:dyDescent="0.25">
      <c r="A34" s="81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6"/>
      <c r="Z34" s="97"/>
      <c r="AA34" s="92"/>
      <c r="AB34" s="100"/>
      <c r="AC34" s="100"/>
      <c r="AD34" s="101"/>
    </row>
    <row r="35" spans="1:30" x14ac:dyDescent="0.25">
      <c r="A35" s="81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6"/>
      <c r="Z35" s="46"/>
      <c r="AA35" s="92"/>
      <c r="AB35" s="100"/>
      <c r="AC35" s="100"/>
      <c r="AD35" s="101"/>
    </row>
    <row r="36" spans="1:30" x14ac:dyDescent="0.25">
      <c r="A36" s="81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6"/>
      <c r="Z36" s="46"/>
      <c r="AA36" s="92"/>
      <c r="AB36" s="100"/>
      <c r="AC36" s="100"/>
      <c r="AD36" s="101"/>
    </row>
    <row r="37" spans="1:30" x14ac:dyDescent="0.25">
      <c r="A37" s="81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6"/>
      <c r="Z37" s="46"/>
      <c r="AA37" s="92"/>
      <c r="AB37" s="100"/>
      <c r="AC37" s="100"/>
      <c r="AD37" s="101"/>
    </row>
    <row r="38" spans="1:30" x14ac:dyDescent="0.25">
      <c r="A38" s="81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6"/>
      <c r="Z38" s="46"/>
      <c r="AA38" s="92"/>
      <c r="AB38" s="100"/>
      <c r="AC38" s="100"/>
      <c r="AD38" s="101"/>
    </row>
    <row r="39" spans="1:30" ht="15.75" thickBot="1" x14ac:dyDescent="0.3">
      <c r="A39" s="81"/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6"/>
      <c r="Z39" s="47"/>
      <c r="AA39" s="93"/>
      <c r="AB39" s="112"/>
      <c r="AC39" s="112"/>
      <c r="AD39" s="113"/>
    </row>
    <row r="40" spans="1:30" x14ac:dyDescent="0.25">
      <c r="A40" s="81"/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6"/>
    </row>
    <row r="41" spans="1:30" x14ac:dyDescent="0.25">
      <c r="A41" s="81"/>
      <c r="B41" s="118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6"/>
    </row>
    <row r="42" spans="1:30" x14ac:dyDescent="0.25">
      <c r="A42" s="5"/>
      <c r="B42" s="118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6"/>
    </row>
    <row r="43" spans="1:30" x14ac:dyDescent="0.25">
      <c r="A43" s="5"/>
      <c r="B43" s="118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6"/>
    </row>
    <row r="44" spans="1:30" x14ac:dyDescent="0.25">
      <c r="A44" s="5"/>
      <c r="B44" s="118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6"/>
    </row>
    <row r="45" spans="1:30" x14ac:dyDescent="0.25">
      <c r="A45" s="5"/>
      <c r="B45" s="118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8"/>
      <c r="Q45" s="118"/>
      <c r="R45" s="118"/>
      <c r="S45" s="6"/>
    </row>
    <row r="46" spans="1:30" x14ac:dyDescent="0.25">
      <c r="A46" s="15"/>
      <c r="B46" s="118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6"/>
    </row>
    <row r="47" spans="1:30" ht="15" customHeight="1" x14ac:dyDescent="0.25">
      <c r="A47" s="14"/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6"/>
    </row>
    <row r="48" spans="1:30" ht="15" customHeight="1" x14ac:dyDescent="0.25">
      <c r="A48" s="14"/>
      <c r="B48" s="118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6"/>
    </row>
    <row r="49" spans="1:19" ht="15" customHeight="1" x14ac:dyDescent="0.25">
      <c r="A49" s="14"/>
      <c r="B49" s="118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6"/>
    </row>
    <row r="50" spans="1:19" ht="15" customHeight="1" x14ac:dyDescent="0.25">
      <c r="A50" s="80"/>
      <c r="B50" s="54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6"/>
    </row>
    <row r="51" spans="1:19" ht="15" customHeight="1" x14ac:dyDescent="0.25">
      <c r="A51" s="80"/>
      <c r="B51" s="59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"/>
    </row>
    <row r="52" spans="1:19" ht="15" customHeight="1" x14ac:dyDescent="0.25">
      <c r="A52" s="80"/>
      <c r="B52" s="54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6"/>
    </row>
    <row r="53" spans="1:19" x14ac:dyDescent="0.25">
      <c r="A53" s="15"/>
      <c r="S53" s="6"/>
    </row>
    <row r="54" spans="1:19" ht="15" customHeight="1" x14ac:dyDescent="0.25">
      <c r="A54" s="127" t="s">
        <v>163</v>
      </c>
      <c r="B54" s="118"/>
      <c r="C54" s="118"/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6"/>
    </row>
    <row r="55" spans="1:19" x14ac:dyDescent="0.25">
      <c r="A55" s="127"/>
      <c r="B55" s="118"/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6"/>
    </row>
    <row r="56" spans="1:19" x14ac:dyDescent="0.25">
      <c r="A56" s="127"/>
      <c r="B56" s="118"/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6"/>
    </row>
    <row r="57" spans="1:19" x14ac:dyDescent="0.25">
      <c r="A57" s="127"/>
      <c r="B57" s="118"/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6"/>
    </row>
    <row r="58" spans="1:19" x14ac:dyDescent="0.25">
      <c r="A58" s="127"/>
      <c r="B58" s="118"/>
      <c r="C58" s="118"/>
      <c r="D58" s="118"/>
      <c r="E58" s="118"/>
      <c r="F58" s="118"/>
      <c r="G58" s="118"/>
      <c r="H58" s="118"/>
      <c r="I58" s="118"/>
      <c r="J58" s="118"/>
      <c r="K58" s="118"/>
      <c r="L58" s="118"/>
      <c r="M58" s="118"/>
      <c r="N58" s="118"/>
      <c r="O58" s="118"/>
      <c r="P58" s="118"/>
      <c r="Q58" s="118"/>
      <c r="R58" s="118"/>
      <c r="S58" s="6"/>
    </row>
    <row r="59" spans="1:19" x14ac:dyDescent="0.25">
      <c r="A59" s="127"/>
      <c r="B59" s="118"/>
      <c r="C59" s="118"/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6"/>
    </row>
    <row r="60" spans="1:19" x14ac:dyDescent="0.25">
      <c r="A60" s="127"/>
      <c r="B60" s="118"/>
      <c r="C60" s="118"/>
      <c r="D60" s="118"/>
      <c r="E60" s="118"/>
      <c r="F60" s="118"/>
      <c r="G60" s="118"/>
      <c r="H60" s="118"/>
      <c r="I60" s="118"/>
      <c r="J60" s="118"/>
      <c r="K60" s="118"/>
      <c r="L60" s="118"/>
      <c r="M60" s="118"/>
      <c r="N60" s="118"/>
      <c r="O60" s="118"/>
      <c r="P60" s="118"/>
      <c r="Q60" s="118"/>
      <c r="R60" s="118"/>
      <c r="S60" s="6"/>
    </row>
    <row r="61" spans="1:19" x14ac:dyDescent="0.25">
      <c r="A61" s="127"/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6"/>
    </row>
    <row r="62" spans="1:19" x14ac:dyDescent="0.25">
      <c r="A62" s="127"/>
      <c r="B62" s="118"/>
      <c r="C62" s="118"/>
      <c r="D62" s="118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6"/>
    </row>
    <row r="63" spans="1:19" x14ac:dyDescent="0.25">
      <c r="A63" s="127"/>
      <c r="B63" s="118"/>
      <c r="C63" s="118"/>
      <c r="D63" s="118"/>
      <c r="E63" s="118"/>
      <c r="F63" s="118"/>
      <c r="G63" s="118"/>
      <c r="H63" s="118"/>
      <c r="I63" s="118"/>
      <c r="J63" s="118"/>
      <c r="K63" s="118"/>
      <c r="L63" s="118"/>
      <c r="M63" s="118"/>
      <c r="N63" s="118"/>
      <c r="O63" s="118"/>
      <c r="P63" s="118"/>
      <c r="Q63" s="118"/>
      <c r="R63" s="118"/>
      <c r="S63" s="6"/>
    </row>
    <row r="64" spans="1:19" x14ac:dyDescent="0.25">
      <c r="A64" s="127"/>
      <c r="B64" s="118"/>
      <c r="C64" s="118"/>
      <c r="D64" s="118"/>
      <c r="E64" s="118"/>
      <c r="F64" s="118"/>
      <c r="G64" s="118"/>
      <c r="H64" s="118"/>
      <c r="I64" s="118"/>
      <c r="J64" s="118"/>
      <c r="K64" s="118"/>
      <c r="L64" s="118"/>
      <c r="M64" s="118"/>
      <c r="N64" s="118"/>
      <c r="O64" s="118"/>
      <c r="P64" s="118"/>
      <c r="Q64" s="118"/>
      <c r="R64" s="118"/>
      <c r="S64" s="6"/>
    </row>
    <row r="65" spans="1:19" x14ac:dyDescent="0.25">
      <c r="A65" s="127"/>
      <c r="B65" s="118"/>
      <c r="C65" s="118"/>
      <c r="D65" s="118"/>
      <c r="E65" s="118"/>
      <c r="F65" s="118"/>
      <c r="G65" s="118"/>
      <c r="H65" s="118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6"/>
    </row>
    <row r="66" spans="1:19" x14ac:dyDescent="0.25">
      <c r="A66" s="127"/>
      <c r="B66" s="118"/>
      <c r="C66" s="118"/>
      <c r="D66" s="118"/>
      <c r="E66" s="118"/>
      <c r="F66" s="118"/>
      <c r="G66" s="118"/>
      <c r="H66" s="118"/>
      <c r="I66" s="118"/>
      <c r="J66" s="118"/>
      <c r="K66" s="118"/>
      <c r="L66" s="118"/>
      <c r="M66" s="118"/>
      <c r="N66" s="118"/>
      <c r="O66" s="118"/>
      <c r="P66" s="118"/>
      <c r="Q66" s="118"/>
      <c r="R66" s="118"/>
      <c r="S66" s="6"/>
    </row>
    <row r="67" spans="1:19" x14ac:dyDescent="0.25">
      <c r="A67" s="127"/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6"/>
    </row>
    <row r="68" spans="1:19" x14ac:dyDescent="0.25">
      <c r="A68" s="127"/>
      <c r="B68" s="118"/>
      <c r="C68" s="118"/>
      <c r="D68" s="118"/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118"/>
      <c r="Q68" s="118"/>
      <c r="R68" s="118"/>
      <c r="S68" s="6"/>
    </row>
    <row r="69" spans="1:19" x14ac:dyDescent="0.25">
      <c r="A69" s="127"/>
      <c r="B69" s="118"/>
      <c r="C69" s="118"/>
      <c r="D69" s="118"/>
      <c r="E69" s="118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118"/>
      <c r="Q69" s="118"/>
      <c r="R69" s="118"/>
      <c r="S69" s="6"/>
    </row>
    <row r="70" spans="1:19" x14ac:dyDescent="0.25">
      <c r="A70" s="127"/>
      <c r="B70" s="118"/>
      <c r="C70" s="118"/>
      <c r="D70" s="118"/>
      <c r="E70" s="118"/>
      <c r="F70" s="118"/>
      <c r="G70" s="118"/>
      <c r="H70" s="118"/>
      <c r="I70" s="118"/>
      <c r="J70" s="118"/>
      <c r="K70" s="118"/>
      <c r="L70" s="118"/>
      <c r="M70" s="118"/>
      <c r="N70" s="118"/>
      <c r="O70" s="118"/>
      <c r="P70" s="118"/>
      <c r="Q70" s="118"/>
      <c r="R70" s="118"/>
      <c r="S70" s="6"/>
    </row>
    <row r="71" spans="1:19" x14ac:dyDescent="0.25">
      <c r="A71" s="127"/>
      <c r="B71" s="118"/>
      <c r="C71" s="118"/>
      <c r="D71" s="118"/>
      <c r="E71" s="118"/>
      <c r="F71" s="118"/>
      <c r="G71" s="118"/>
      <c r="H71" s="118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6"/>
    </row>
    <row r="72" spans="1:19" x14ac:dyDescent="0.25">
      <c r="A72" s="127"/>
      <c r="B72" s="118"/>
      <c r="C72" s="118"/>
      <c r="D72" s="118"/>
      <c r="E72" s="118"/>
      <c r="F72" s="118"/>
      <c r="G72" s="118"/>
      <c r="H72" s="118"/>
      <c r="I72" s="118"/>
      <c r="J72" s="118"/>
      <c r="K72" s="118"/>
      <c r="L72" s="118"/>
      <c r="M72" s="118"/>
      <c r="N72" s="118"/>
      <c r="O72" s="118"/>
      <c r="P72" s="118"/>
      <c r="Q72" s="118"/>
      <c r="R72" s="118"/>
      <c r="S72" s="6"/>
    </row>
    <row r="73" spans="1:19" x14ac:dyDescent="0.25">
      <c r="A73" s="127"/>
      <c r="B73" s="118"/>
      <c r="C73" s="118"/>
      <c r="D73" s="118"/>
      <c r="E73" s="118"/>
      <c r="F73" s="118"/>
      <c r="G73" s="118"/>
      <c r="H73" s="118"/>
      <c r="I73" s="118"/>
      <c r="J73" s="118"/>
      <c r="K73" s="118"/>
      <c r="L73" s="118"/>
      <c r="M73" s="118"/>
      <c r="N73" s="118"/>
      <c r="O73" s="118"/>
      <c r="P73" s="118"/>
      <c r="Q73" s="118"/>
      <c r="R73" s="118"/>
      <c r="S73" s="6"/>
    </row>
    <row r="74" spans="1:19" x14ac:dyDescent="0.25">
      <c r="A74" s="127"/>
      <c r="B74" s="118"/>
      <c r="C74" s="118"/>
      <c r="D74" s="118"/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6"/>
    </row>
    <row r="75" spans="1:19" x14ac:dyDescent="0.25">
      <c r="A75" s="127"/>
      <c r="B75" s="118"/>
      <c r="C75" s="118"/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6"/>
    </row>
    <row r="76" spans="1:19" x14ac:dyDescent="0.25">
      <c r="A76" s="127"/>
      <c r="B76" s="118"/>
      <c r="C76" s="118"/>
      <c r="D76" s="118"/>
      <c r="E76" s="118"/>
      <c r="F76" s="118"/>
      <c r="G76" s="118"/>
      <c r="H76" s="118"/>
      <c r="I76" s="118"/>
      <c r="J76" s="118"/>
      <c r="K76" s="118"/>
      <c r="L76" s="118"/>
      <c r="M76" s="118"/>
      <c r="N76" s="118"/>
      <c r="O76" s="118"/>
      <c r="P76" s="118"/>
      <c r="Q76" s="118"/>
      <c r="R76" s="118"/>
      <c r="S76" s="6"/>
    </row>
    <row r="77" spans="1:19" x14ac:dyDescent="0.25">
      <c r="A77" s="127"/>
      <c r="B77" s="118"/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6"/>
    </row>
    <row r="78" spans="1:19" x14ac:dyDescent="0.25">
      <c r="A78" s="127"/>
      <c r="B78" s="118"/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6"/>
    </row>
    <row r="79" spans="1:19" x14ac:dyDescent="0.25">
      <c r="A79" s="127"/>
      <c r="B79" s="118"/>
      <c r="C79" s="118"/>
      <c r="D79" s="118"/>
      <c r="E79" s="118"/>
      <c r="F79" s="118"/>
      <c r="G79" s="118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6"/>
    </row>
    <row r="80" spans="1:19" x14ac:dyDescent="0.25">
      <c r="A80" s="127"/>
      <c r="B80" s="118"/>
      <c r="C80" s="118"/>
      <c r="D80" s="118"/>
      <c r="E80" s="118"/>
      <c r="F80" s="118"/>
      <c r="G80" s="118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6"/>
    </row>
    <row r="81" spans="1:26" x14ac:dyDescent="0.25">
      <c r="A81" s="127"/>
      <c r="B81" s="118"/>
      <c r="C81" s="118"/>
      <c r="D81" s="118"/>
      <c r="E81" s="118"/>
      <c r="F81" s="118"/>
      <c r="G81" s="118"/>
      <c r="H81" s="118"/>
      <c r="I81" s="118"/>
      <c r="J81" s="118"/>
      <c r="K81" s="118"/>
      <c r="L81" s="118"/>
      <c r="M81" s="118"/>
      <c r="N81" s="118"/>
      <c r="O81" s="118"/>
      <c r="P81" s="118"/>
      <c r="Q81" s="118"/>
      <c r="R81" s="118"/>
      <c r="S81" s="6"/>
    </row>
    <row r="82" spans="1:26" x14ac:dyDescent="0.25">
      <c r="A82" s="127"/>
      <c r="B82" s="118"/>
      <c r="C82" s="118"/>
      <c r="D82" s="118"/>
      <c r="E82" s="118"/>
      <c r="F82" s="118"/>
      <c r="G82" s="118"/>
      <c r="H82" s="118"/>
      <c r="I82" s="118"/>
      <c r="J82" s="118"/>
      <c r="K82" s="118"/>
      <c r="L82" s="118"/>
      <c r="M82" s="118"/>
      <c r="N82" s="118"/>
      <c r="O82" s="118"/>
      <c r="P82" s="118"/>
      <c r="Q82" s="118"/>
      <c r="R82" s="118"/>
      <c r="S82" s="6"/>
    </row>
    <row r="83" spans="1:26" x14ac:dyDescent="0.25">
      <c r="A83" s="127"/>
      <c r="B83" s="118"/>
      <c r="C83" s="118"/>
      <c r="D83" s="118"/>
      <c r="E83" s="118"/>
      <c r="F83" s="118"/>
      <c r="G83" s="118"/>
      <c r="H83" s="118"/>
      <c r="I83" s="118"/>
      <c r="J83" s="118"/>
      <c r="K83" s="118"/>
      <c r="L83" s="118"/>
      <c r="M83" s="118"/>
      <c r="N83" s="118"/>
      <c r="O83" s="118"/>
      <c r="P83" s="118"/>
      <c r="Q83" s="118"/>
      <c r="R83" s="118"/>
      <c r="S83" s="6"/>
    </row>
    <row r="84" spans="1:26" x14ac:dyDescent="0.25">
      <c r="A84" s="127"/>
      <c r="B84" s="118"/>
      <c r="C84" s="118"/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118"/>
      <c r="Q84" s="118"/>
      <c r="R84" s="118"/>
      <c r="S84" s="6"/>
    </row>
    <row r="85" spans="1:26" x14ac:dyDescent="0.25">
      <c r="A85" s="127"/>
      <c r="B85" s="118"/>
      <c r="C85" s="118"/>
      <c r="D85" s="118"/>
      <c r="E85" s="118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118"/>
      <c r="Q85" s="118"/>
      <c r="R85" s="118"/>
      <c r="S85" s="6"/>
    </row>
    <row r="86" spans="1:26" x14ac:dyDescent="0.25">
      <c r="A86" s="127"/>
      <c r="B86" s="118"/>
      <c r="C86" s="118"/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8"/>
      <c r="Q86" s="118"/>
      <c r="R86" s="118"/>
      <c r="S86" s="6"/>
      <c r="Z86" s="30"/>
    </row>
    <row r="87" spans="1:26" x14ac:dyDescent="0.25">
      <c r="A87" s="127"/>
      <c r="B87" s="118"/>
      <c r="C87" s="118"/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118"/>
      <c r="Q87" s="118"/>
      <c r="R87" s="118"/>
      <c r="S87" s="6"/>
    </row>
    <row r="88" spans="1:26" x14ac:dyDescent="0.25">
      <c r="A88" s="127"/>
      <c r="B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6"/>
    </row>
    <row r="89" spans="1:26" x14ac:dyDescent="0.25">
      <c r="A89" s="127"/>
      <c r="B89" s="11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18"/>
      <c r="O89" s="118"/>
      <c r="P89" s="118"/>
      <c r="Q89" s="118"/>
      <c r="R89" s="118"/>
      <c r="S89" s="6"/>
    </row>
    <row r="90" spans="1:26" x14ac:dyDescent="0.25">
      <c r="A90" s="127"/>
      <c r="B90" s="118"/>
      <c r="C90" s="118"/>
      <c r="D90" s="118"/>
      <c r="E90" s="118"/>
      <c r="F90" s="118"/>
      <c r="G90" s="118"/>
      <c r="H90" s="118"/>
      <c r="I90" s="118"/>
      <c r="J90" s="118"/>
      <c r="K90" s="118"/>
      <c r="L90" s="118"/>
      <c r="M90" s="118"/>
      <c r="N90" s="118"/>
      <c r="O90" s="118"/>
      <c r="P90" s="118"/>
      <c r="Q90" s="118"/>
      <c r="R90" s="118"/>
      <c r="S90" s="76"/>
    </row>
    <row r="91" spans="1:26" x14ac:dyDescent="0.25">
      <c r="A91" s="127"/>
      <c r="B91" s="118"/>
      <c r="C91" s="118"/>
      <c r="D91" s="118"/>
      <c r="E91" s="118"/>
      <c r="F91" s="118"/>
      <c r="G91" s="118"/>
      <c r="H91" s="118"/>
      <c r="I91" s="118"/>
      <c r="J91" s="118"/>
      <c r="K91" s="118"/>
      <c r="L91" s="118"/>
      <c r="M91" s="118"/>
      <c r="N91" s="118"/>
      <c r="O91" s="118"/>
      <c r="P91" s="118"/>
      <c r="Q91" s="118"/>
      <c r="R91" s="118"/>
      <c r="S91" s="77"/>
    </row>
    <row r="92" spans="1:26" ht="15" customHeight="1" x14ac:dyDescent="0.25">
      <c r="A92" s="127"/>
      <c r="B92" s="118"/>
      <c r="C92" s="118"/>
      <c r="D92" s="118"/>
      <c r="E92" s="118"/>
      <c r="F92" s="118"/>
      <c r="G92" s="118"/>
      <c r="H92" s="118"/>
      <c r="I92" s="118"/>
      <c r="J92" s="118"/>
      <c r="K92" s="118"/>
      <c r="L92" s="118"/>
      <c r="M92" s="118"/>
      <c r="N92" s="118"/>
      <c r="O92" s="118"/>
      <c r="P92" s="118"/>
      <c r="Q92" s="118"/>
      <c r="R92" s="118"/>
      <c r="S92" s="77"/>
    </row>
    <row r="93" spans="1:26" ht="15" customHeight="1" x14ac:dyDescent="0.25">
      <c r="A93" s="14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77"/>
    </row>
    <row r="94" spans="1:26" ht="15" customHeight="1" x14ac:dyDescent="0.25">
      <c r="A94" s="14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77"/>
    </row>
    <row r="95" spans="1:26" ht="15" customHeight="1" x14ac:dyDescent="0.25">
      <c r="A95" s="80"/>
      <c r="B95" s="54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77"/>
    </row>
    <row r="96" spans="1:26" ht="15" customHeight="1" x14ac:dyDescent="0.25">
      <c r="A96" s="80"/>
      <c r="B96" s="54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77"/>
    </row>
    <row r="97" spans="1:19" ht="15" customHeight="1" x14ac:dyDescent="0.25">
      <c r="A97" s="80"/>
      <c r="B97" s="125"/>
      <c r="C97" s="125"/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77"/>
    </row>
    <row r="98" spans="1:19" ht="15" customHeight="1" x14ac:dyDescent="0.25">
      <c r="A98" s="82"/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77"/>
    </row>
    <row r="99" spans="1:19" ht="15" customHeight="1" x14ac:dyDescent="0.25">
      <c r="A99" s="128"/>
      <c r="B99" s="125"/>
      <c r="C99" s="125"/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6"/>
    </row>
    <row r="100" spans="1:19" ht="15" customHeight="1" x14ac:dyDescent="0.25">
      <c r="A100" s="128"/>
      <c r="B100" s="125"/>
      <c r="C100" s="125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6"/>
    </row>
    <row r="101" spans="1:19" ht="15" customHeight="1" x14ac:dyDescent="0.25">
      <c r="A101" s="128"/>
      <c r="B101" s="125"/>
      <c r="C101" s="125"/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6"/>
    </row>
    <row r="102" spans="1:19" ht="15" customHeight="1" x14ac:dyDescent="0.25">
      <c r="A102" s="128"/>
      <c r="B102" s="125"/>
      <c r="C102" s="125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6"/>
    </row>
    <row r="103" spans="1:19" ht="15" customHeight="1" x14ac:dyDescent="0.25">
      <c r="A103" s="128"/>
      <c r="B103" s="125"/>
      <c r="C103" s="125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6"/>
    </row>
    <row r="104" spans="1:19" ht="15" customHeight="1" x14ac:dyDescent="0.25">
      <c r="A104" s="128"/>
      <c r="B104" s="125"/>
      <c r="C104" s="125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6"/>
    </row>
    <row r="105" spans="1:19" ht="15" customHeight="1" x14ac:dyDescent="0.25">
      <c r="A105" s="128"/>
      <c r="B105" s="125"/>
      <c r="C105" s="125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6"/>
    </row>
    <row r="106" spans="1:19" ht="15" customHeight="1" x14ac:dyDescent="0.25">
      <c r="A106" s="128"/>
      <c r="B106" s="125"/>
      <c r="C106" s="125"/>
      <c r="D106" s="125"/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6"/>
    </row>
    <row r="107" spans="1:19" ht="15" customHeight="1" x14ac:dyDescent="0.25">
      <c r="A107" s="128"/>
      <c r="B107" s="125"/>
      <c r="C107" s="125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6"/>
    </row>
    <row r="108" spans="1:19" ht="15" customHeight="1" x14ac:dyDescent="0.25">
      <c r="A108" s="128"/>
      <c r="B108" s="125"/>
      <c r="C108" s="125"/>
      <c r="D108" s="125"/>
      <c r="E108" s="125"/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6"/>
    </row>
    <row r="109" spans="1:19" ht="15" customHeight="1" x14ac:dyDescent="0.25">
      <c r="A109" s="128"/>
      <c r="B109" s="125"/>
      <c r="C109" s="125"/>
      <c r="D109" s="125"/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6"/>
    </row>
    <row r="110" spans="1:19" ht="15" customHeight="1" x14ac:dyDescent="0.25">
      <c r="A110" s="128"/>
      <c r="B110" s="125"/>
      <c r="C110" s="125"/>
      <c r="D110" s="125"/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6"/>
    </row>
    <row r="111" spans="1:19" ht="15" customHeight="1" x14ac:dyDescent="0.25">
      <c r="A111" s="128"/>
      <c r="B111" s="125"/>
      <c r="C111" s="125"/>
      <c r="D111" s="125"/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6"/>
    </row>
    <row r="112" spans="1:19" ht="15" customHeight="1" x14ac:dyDescent="0.25">
      <c r="A112" s="128"/>
      <c r="B112" s="125"/>
      <c r="C112" s="125"/>
      <c r="D112" s="125"/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6"/>
    </row>
    <row r="113" spans="1:19" ht="15" customHeight="1" x14ac:dyDescent="0.25">
      <c r="A113" s="128"/>
      <c r="B113" s="125"/>
      <c r="C113" s="125"/>
      <c r="D113" s="125"/>
      <c r="E113" s="125"/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6"/>
    </row>
    <row r="114" spans="1:19" ht="15" customHeight="1" x14ac:dyDescent="0.25">
      <c r="A114" s="128"/>
      <c r="B114" s="125"/>
      <c r="C114" s="125"/>
      <c r="D114" s="125"/>
      <c r="E114" s="125"/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6"/>
    </row>
    <row r="115" spans="1:19" ht="15" customHeight="1" x14ac:dyDescent="0.25">
      <c r="A115" s="128"/>
      <c r="B115" s="125"/>
      <c r="C115" s="125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6"/>
    </row>
    <row r="116" spans="1:19" ht="15" customHeight="1" x14ac:dyDescent="0.25">
      <c r="A116" s="128"/>
      <c r="B116" s="125"/>
      <c r="C116" s="125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6"/>
    </row>
    <row r="117" spans="1:19" ht="15" customHeight="1" x14ac:dyDescent="0.25">
      <c r="A117" s="128"/>
      <c r="B117" s="125"/>
      <c r="C117" s="125"/>
      <c r="D117" s="125"/>
      <c r="E117" s="125"/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6"/>
    </row>
    <row r="118" spans="1:19" ht="15" customHeight="1" x14ac:dyDescent="0.25">
      <c r="A118" s="128"/>
      <c r="B118" s="125"/>
      <c r="C118" s="125"/>
      <c r="D118" s="125"/>
      <c r="E118" s="125"/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6"/>
    </row>
    <row r="119" spans="1:19" ht="15" customHeight="1" x14ac:dyDescent="0.25">
      <c r="A119" s="128"/>
      <c r="B119" s="125"/>
      <c r="C119" s="125"/>
      <c r="D119" s="125"/>
      <c r="E119" s="125"/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6"/>
    </row>
    <row r="120" spans="1:19" ht="15" customHeight="1" x14ac:dyDescent="0.25">
      <c r="A120" s="128"/>
      <c r="B120" s="125"/>
      <c r="C120" s="125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6"/>
    </row>
    <row r="121" spans="1:19" ht="15" customHeight="1" x14ac:dyDescent="0.25">
      <c r="A121" s="128"/>
      <c r="B121" s="125"/>
      <c r="C121" s="125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6"/>
    </row>
    <row r="122" spans="1:19" ht="15" customHeight="1" x14ac:dyDescent="0.25">
      <c r="A122" s="128"/>
      <c r="B122" s="125"/>
      <c r="C122" s="125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6"/>
    </row>
    <row r="123" spans="1:19" ht="15" customHeight="1" x14ac:dyDescent="0.25">
      <c r="A123" s="128"/>
      <c r="B123" s="125"/>
      <c r="C123" s="125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6"/>
    </row>
    <row r="124" spans="1:19" ht="15" customHeight="1" x14ac:dyDescent="0.25">
      <c r="A124" s="128"/>
      <c r="B124" s="125"/>
      <c r="C124" s="125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6"/>
    </row>
    <row r="125" spans="1:19" ht="15" customHeight="1" x14ac:dyDescent="0.25">
      <c r="A125" s="128"/>
      <c r="B125" s="125"/>
      <c r="C125" s="125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6"/>
    </row>
    <row r="126" spans="1:19" ht="15" customHeight="1" x14ac:dyDescent="0.25">
      <c r="A126" s="128"/>
      <c r="B126" s="125"/>
      <c r="C126" s="125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6"/>
    </row>
    <row r="127" spans="1:19" ht="15" customHeight="1" x14ac:dyDescent="0.25">
      <c r="A127" s="128"/>
      <c r="B127" s="125"/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6"/>
    </row>
    <row r="128" spans="1:19" ht="15" customHeight="1" x14ac:dyDescent="0.25">
      <c r="A128" s="128"/>
      <c r="B128" s="125"/>
      <c r="C128" s="125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6"/>
    </row>
    <row r="129" spans="1:27" ht="15" customHeight="1" x14ac:dyDescent="0.25">
      <c r="A129" s="128"/>
      <c r="B129" s="125"/>
      <c r="C129" s="125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6"/>
    </row>
    <row r="130" spans="1:27" ht="15" customHeight="1" x14ac:dyDescent="0.25">
      <c r="A130" s="128"/>
      <c r="B130" s="125"/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6"/>
    </row>
    <row r="131" spans="1:27" ht="15" customHeight="1" x14ac:dyDescent="0.25">
      <c r="A131" s="128"/>
      <c r="B131" s="125"/>
      <c r="C131" s="125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6"/>
    </row>
    <row r="132" spans="1:27" ht="15" customHeight="1" x14ac:dyDescent="0.25">
      <c r="A132" s="5"/>
      <c r="B132" s="125"/>
      <c r="C132" s="125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6"/>
    </row>
    <row r="133" spans="1:27" ht="15" customHeight="1" x14ac:dyDescent="0.25">
      <c r="A133" s="5"/>
      <c r="B133" s="125"/>
      <c r="C133" s="125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6"/>
    </row>
    <row r="134" spans="1:27" ht="15" customHeight="1" x14ac:dyDescent="0.25">
      <c r="A134" s="5"/>
      <c r="B134" s="125"/>
      <c r="C134" s="125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6"/>
    </row>
    <row r="135" spans="1:27" ht="15" customHeight="1" x14ac:dyDescent="0.25">
      <c r="A135" s="5"/>
      <c r="B135" s="125"/>
      <c r="C135" s="125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6"/>
    </row>
    <row r="136" spans="1:27" x14ac:dyDescent="0.25">
      <c r="A136" s="15"/>
      <c r="S136" s="6"/>
    </row>
    <row r="137" spans="1:27" ht="15" customHeight="1" x14ac:dyDescent="0.25">
      <c r="A137" s="14"/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6"/>
    </row>
    <row r="138" spans="1:27" ht="15" customHeight="1" x14ac:dyDescent="0.25">
      <c r="A138" s="14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6"/>
    </row>
    <row r="139" spans="1:27" ht="15" customHeight="1" x14ac:dyDescent="0.25">
      <c r="A139" s="14"/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6"/>
    </row>
    <row r="140" spans="1:27" ht="15" customHeight="1" x14ac:dyDescent="0.25">
      <c r="A140" s="80"/>
      <c r="B140" s="54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76"/>
    </row>
    <row r="141" spans="1:27" ht="15" customHeight="1" x14ac:dyDescent="0.25">
      <c r="A141" s="80"/>
      <c r="B141" s="54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76"/>
    </row>
    <row r="142" spans="1:27" ht="15" customHeight="1" x14ac:dyDescent="0.25">
      <c r="A142" s="83"/>
      <c r="B142" s="59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78"/>
    </row>
    <row r="143" spans="1:27" x14ac:dyDescent="0.25">
      <c r="G143" s="30"/>
      <c r="AA143" s="2"/>
    </row>
    <row r="144" spans="1:27" ht="15" customHeight="1" x14ac:dyDescent="0.25">
      <c r="G144" s="30"/>
      <c r="AA144" s="2"/>
    </row>
    <row r="145" spans="7:27" x14ac:dyDescent="0.25">
      <c r="G145" s="30"/>
      <c r="AA145" s="2"/>
    </row>
    <row r="146" spans="7:27" x14ac:dyDescent="0.25">
      <c r="G146" s="30"/>
      <c r="AA146" s="2"/>
    </row>
    <row r="147" spans="7:27" x14ac:dyDescent="0.25">
      <c r="G147" s="30"/>
      <c r="AA147" s="2"/>
    </row>
    <row r="148" spans="7:27" x14ac:dyDescent="0.25">
      <c r="G148" s="30"/>
      <c r="AA148" s="2"/>
    </row>
    <row r="149" spans="7:27" x14ac:dyDescent="0.25">
      <c r="G149" s="30"/>
      <c r="AA149" s="2"/>
    </row>
    <row r="150" spans="7:27" x14ac:dyDescent="0.25">
      <c r="G150" s="30"/>
      <c r="AA150" s="2"/>
    </row>
    <row r="151" spans="7:27" x14ac:dyDescent="0.25">
      <c r="G151" s="30"/>
      <c r="AA151" s="2"/>
    </row>
    <row r="152" spans="7:27" x14ac:dyDescent="0.25">
      <c r="G152" s="30"/>
      <c r="AA152" s="2"/>
    </row>
    <row r="153" spans="7:27" x14ac:dyDescent="0.25">
      <c r="G153" s="30"/>
      <c r="AA153" s="2"/>
    </row>
    <row r="154" spans="7:27" x14ac:dyDescent="0.25">
      <c r="G154" s="30"/>
      <c r="AA154" s="2"/>
    </row>
    <row r="155" spans="7:27" x14ac:dyDescent="0.25">
      <c r="G155" s="30"/>
      <c r="AA155" s="2"/>
    </row>
    <row r="156" spans="7:27" x14ac:dyDescent="0.25">
      <c r="G156" s="30"/>
      <c r="AA156" s="2"/>
    </row>
    <row r="157" spans="7:27" x14ac:dyDescent="0.25">
      <c r="G157" s="30"/>
      <c r="AA157" s="2"/>
    </row>
    <row r="158" spans="7:27" x14ac:dyDescent="0.25">
      <c r="G158" s="30"/>
      <c r="AA158" s="2"/>
    </row>
    <row r="159" spans="7:27" x14ac:dyDescent="0.25">
      <c r="G159" s="30"/>
      <c r="AA159" s="2"/>
    </row>
    <row r="160" spans="7:27" x14ac:dyDescent="0.25">
      <c r="G160" s="30"/>
      <c r="AA160" s="2"/>
    </row>
    <row r="161" spans="7:27" x14ac:dyDescent="0.25">
      <c r="G161" s="30"/>
      <c r="AA161" s="2"/>
    </row>
    <row r="162" spans="7:27" x14ac:dyDescent="0.25">
      <c r="G162" s="30"/>
      <c r="AA162" s="2"/>
    </row>
    <row r="163" spans="7:27" x14ac:dyDescent="0.25">
      <c r="G163" s="30"/>
      <c r="AA163" s="2"/>
    </row>
    <row r="164" spans="7:27" x14ac:dyDescent="0.25">
      <c r="G164" s="30"/>
      <c r="AA164" s="2"/>
    </row>
    <row r="165" spans="7:27" x14ac:dyDescent="0.25">
      <c r="G165" s="30"/>
      <c r="AA165" s="2"/>
    </row>
    <row r="166" spans="7:27" x14ac:dyDescent="0.25">
      <c r="G166" s="30"/>
      <c r="AA166" s="2"/>
    </row>
    <row r="167" spans="7:27" x14ac:dyDescent="0.25">
      <c r="G167" s="30"/>
      <c r="AA167" s="2"/>
    </row>
    <row r="168" spans="7:27" x14ac:dyDescent="0.25">
      <c r="G168" s="30"/>
      <c r="AA168" s="2"/>
    </row>
    <row r="169" spans="7:27" x14ac:dyDescent="0.25">
      <c r="G169" s="30"/>
      <c r="AA169" s="2"/>
    </row>
    <row r="170" spans="7:27" x14ac:dyDescent="0.25">
      <c r="G170" s="30"/>
      <c r="AA170" s="2"/>
    </row>
    <row r="171" spans="7:27" x14ac:dyDescent="0.25">
      <c r="G171" s="30"/>
      <c r="AA171" s="2"/>
    </row>
    <row r="172" spans="7:27" x14ac:dyDescent="0.25">
      <c r="G172" s="30"/>
      <c r="AA172" s="2"/>
    </row>
    <row r="173" spans="7:27" x14ac:dyDescent="0.25">
      <c r="G173" s="30"/>
      <c r="AA173" s="2"/>
    </row>
    <row r="174" spans="7:27" x14ac:dyDescent="0.25">
      <c r="G174" s="30"/>
      <c r="AA174" s="2"/>
    </row>
    <row r="175" spans="7:27" x14ac:dyDescent="0.25">
      <c r="G175" s="30"/>
      <c r="AA175" s="2"/>
    </row>
    <row r="176" spans="7:27" x14ac:dyDescent="0.25">
      <c r="G176" s="30"/>
      <c r="AA176" s="2"/>
    </row>
    <row r="177" spans="7:27" x14ac:dyDescent="0.25">
      <c r="G177" s="30"/>
      <c r="AA177" s="2"/>
    </row>
    <row r="178" spans="7:27" x14ac:dyDescent="0.25">
      <c r="G178" s="30"/>
      <c r="AA178" s="2"/>
    </row>
    <row r="179" spans="7:27" x14ac:dyDescent="0.25">
      <c r="G179" s="30"/>
      <c r="AA179" s="2"/>
    </row>
    <row r="180" spans="7:27" x14ac:dyDescent="0.25">
      <c r="G180" s="30"/>
      <c r="AA180" s="2"/>
    </row>
    <row r="181" spans="7:27" x14ac:dyDescent="0.25">
      <c r="G181" s="30"/>
      <c r="AA181" s="2"/>
    </row>
    <row r="182" spans="7:27" ht="15" customHeight="1" x14ac:dyDescent="0.25">
      <c r="G182" s="30"/>
      <c r="AA182" s="2"/>
    </row>
    <row r="183" spans="7:27" ht="15" customHeight="1" x14ac:dyDescent="0.25">
      <c r="G183" s="30"/>
      <c r="AA183" s="2"/>
    </row>
    <row r="184" spans="7:27" ht="15" customHeight="1" x14ac:dyDescent="0.25">
      <c r="G184" s="30"/>
      <c r="AA184" s="2"/>
    </row>
    <row r="185" spans="7:27" ht="15" customHeight="1" x14ac:dyDescent="0.25">
      <c r="G185" s="30"/>
      <c r="AA185" s="2"/>
    </row>
    <row r="186" spans="7:27" ht="15" customHeight="1" x14ac:dyDescent="0.25">
      <c r="G186" s="30"/>
      <c r="AA186" s="2"/>
    </row>
    <row r="187" spans="7:27" ht="15" customHeight="1" x14ac:dyDescent="0.25">
      <c r="G187" s="30"/>
      <c r="AA187" s="2"/>
    </row>
    <row r="188" spans="7:27" x14ac:dyDescent="0.25">
      <c r="G188" s="30"/>
      <c r="AA188" s="2"/>
    </row>
    <row r="189" spans="7:27" ht="15" customHeight="1" x14ac:dyDescent="0.25">
      <c r="G189" s="30"/>
      <c r="AA189" s="2"/>
    </row>
    <row r="190" spans="7:27" x14ac:dyDescent="0.25">
      <c r="G190" s="30"/>
      <c r="AA190" s="2"/>
    </row>
    <row r="191" spans="7:27" x14ac:dyDescent="0.25">
      <c r="G191" s="30"/>
      <c r="AA191" s="2"/>
    </row>
    <row r="192" spans="7:27" x14ac:dyDescent="0.25">
      <c r="G192" s="30"/>
      <c r="AA192" s="2"/>
    </row>
    <row r="193" spans="7:27" x14ac:dyDescent="0.25">
      <c r="G193" s="30"/>
      <c r="AA193" s="2"/>
    </row>
    <row r="194" spans="7:27" x14ac:dyDescent="0.25">
      <c r="G194" s="30"/>
      <c r="AA194" s="2"/>
    </row>
    <row r="195" spans="7:27" x14ac:dyDescent="0.25">
      <c r="G195" s="30"/>
      <c r="AA195" s="2"/>
    </row>
    <row r="196" spans="7:27" x14ac:dyDescent="0.25">
      <c r="G196" s="30"/>
      <c r="AA196" s="2"/>
    </row>
    <row r="197" spans="7:27" x14ac:dyDescent="0.25">
      <c r="G197" s="30"/>
      <c r="AA197" s="2"/>
    </row>
    <row r="198" spans="7:27" x14ac:dyDescent="0.25">
      <c r="G198" s="30"/>
      <c r="AA198" s="2"/>
    </row>
    <row r="199" spans="7:27" x14ac:dyDescent="0.25">
      <c r="G199" s="30"/>
      <c r="AA199" s="2"/>
    </row>
    <row r="200" spans="7:27" x14ac:dyDescent="0.25">
      <c r="G200" s="30"/>
      <c r="AA200" s="2"/>
    </row>
    <row r="201" spans="7:27" x14ac:dyDescent="0.25">
      <c r="G201" s="30"/>
      <c r="AA201" s="2"/>
    </row>
    <row r="202" spans="7:27" x14ac:dyDescent="0.25">
      <c r="G202" s="30"/>
      <c r="AA202" s="2"/>
    </row>
    <row r="203" spans="7:27" x14ac:dyDescent="0.25">
      <c r="G203" s="30"/>
      <c r="AA203" s="2"/>
    </row>
    <row r="204" spans="7:27" x14ac:dyDescent="0.25">
      <c r="G204" s="30"/>
      <c r="AA204" s="2"/>
    </row>
    <row r="205" spans="7:27" x14ac:dyDescent="0.25">
      <c r="G205" s="30"/>
      <c r="AA205" s="2"/>
    </row>
    <row r="206" spans="7:27" x14ac:dyDescent="0.25">
      <c r="G206" s="30"/>
      <c r="AA206" s="2"/>
    </row>
    <row r="207" spans="7:27" x14ac:dyDescent="0.25">
      <c r="G207" s="30"/>
      <c r="AA207" s="2"/>
    </row>
    <row r="208" spans="7:27" x14ac:dyDescent="0.25">
      <c r="G208" s="30"/>
      <c r="AA208" s="2"/>
    </row>
    <row r="209" spans="7:27" x14ac:dyDescent="0.25">
      <c r="G209" s="30"/>
      <c r="AA209" s="2"/>
    </row>
    <row r="210" spans="7:27" x14ac:dyDescent="0.25">
      <c r="G210" s="30"/>
      <c r="AA210" s="2"/>
    </row>
    <row r="211" spans="7:27" x14ac:dyDescent="0.25">
      <c r="G211" s="30"/>
      <c r="AA211" s="2"/>
    </row>
    <row r="212" spans="7:27" x14ac:dyDescent="0.25">
      <c r="G212" s="30"/>
      <c r="AA212" s="2"/>
    </row>
    <row r="213" spans="7:27" x14ac:dyDescent="0.25">
      <c r="G213" s="30"/>
      <c r="AA213" s="2"/>
    </row>
    <row r="214" spans="7:27" x14ac:dyDescent="0.25">
      <c r="G214" s="30"/>
      <c r="AA214" s="2"/>
    </row>
    <row r="215" spans="7:27" x14ac:dyDescent="0.25">
      <c r="G215" s="30"/>
      <c r="AA215" s="2"/>
    </row>
    <row r="216" spans="7:27" x14ac:dyDescent="0.25">
      <c r="G216" s="30"/>
      <c r="AA216" s="2"/>
    </row>
    <row r="217" spans="7:27" x14ac:dyDescent="0.25">
      <c r="G217" s="30"/>
      <c r="AA217" s="2"/>
    </row>
    <row r="218" spans="7:27" x14ac:dyDescent="0.25">
      <c r="G218" s="30"/>
      <c r="AA218" s="2"/>
    </row>
    <row r="219" spans="7:27" x14ac:dyDescent="0.25">
      <c r="G219" s="30"/>
      <c r="AA219" s="2"/>
    </row>
    <row r="220" spans="7:27" x14ac:dyDescent="0.25">
      <c r="G220" s="30"/>
      <c r="AA220" s="2"/>
    </row>
    <row r="221" spans="7:27" x14ac:dyDescent="0.25">
      <c r="G221" s="30"/>
      <c r="AA221" s="2"/>
    </row>
    <row r="222" spans="7:27" x14ac:dyDescent="0.25">
      <c r="G222" s="30"/>
      <c r="AA222" s="2"/>
    </row>
    <row r="223" spans="7:27" x14ac:dyDescent="0.25">
      <c r="G223" s="30"/>
      <c r="AA223" s="2"/>
    </row>
    <row r="224" spans="7:27" x14ac:dyDescent="0.25">
      <c r="G224" s="30"/>
      <c r="AA224" s="2"/>
    </row>
    <row r="225" spans="7:27" x14ac:dyDescent="0.25">
      <c r="G225" s="30"/>
      <c r="AA225" s="2"/>
    </row>
    <row r="226" spans="7:27" x14ac:dyDescent="0.25">
      <c r="G226" s="30"/>
      <c r="AA226" s="2"/>
    </row>
    <row r="227" spans="7:27" ht="15" customHeight="1" x14ac:dyDescent="0.25">
      <c r="G227" s="30"/>
      <c r="AA227" s="2"/>
    </row>
    <row r="228" spans="7:27" ht="15" customHeight="1" x14ac:dyDescent="0.25">
      <c r="G228" s="30"/>
      <c r="AA228" s="2"/>
    </row>
    <row r="229" spans="7:27" ht="15" customHeight="1" x14ac:dyDescent="0.25">
      <c r="G229" s="30"/>
      <c r="AA229" s="2"/>
    </row>
    <row r="230" spans="7:27" ht="15" customHeight="1" x14ac:dyDescent="0.25">
      <c r="G230" s="30"/>
      <c r="AA230" s="2"/>
    </row>
    <row r="231" spans="7:27" ht="15" customHeight="1" x14ac:dyDescent="0.25">
      <c r="G231" s="30"/>
      <c r="AA231" s="2"/>
    </row>
    <row r="232" spans="7:27" ht="15" customHeight="1" x14ac:dyDescent="0.25">
      <c r="G232" s="30"/>
      <c r="AA232" s="2"/>
    </row>
    <row r="233" spans="7:27" x14ac:dyDescent="0.25">
      <c r="G233" s="30"/>
      <c r="AA233" s="2"/>
    </row>
    <row r="234" spans="7:27" ht="15" customHeight="1" x14ac:dyDescent="0.25">
      <c r="G234" s="30"/>
      <c r="AA234" s="2"/>
    </row>
    <row r="235" spans="7:27" x14ac:dyDescent="0.25">
      <c r="G235" s="30"/>
      <c r="AA235" s="2"/>
    </row>
    <row r="236" spans="7:27" x14ac:dyDescent="0.25">
      <c r="G236" s="30"/>
      <c r="AA236" s="2"/>
    </row>
    <row r="237" spans="7:27" x14ac:dyDescent="0.25">
      <c r="G237" s="30"/>
      <c r="AA237" s="2"/>
    </row>
    <row r="238" spans="7:27" x14ac:dyDescent="0.25">
      <c r="G238" s="30"/>
      <c r="AA238" s="2"/>
    </row>
    <row r="239" spans="7:27" x14ac:dyDescent="0.25">
      <c r="G239" s="30"/>
      <c r="AA239" s="2"/>
    </row>
    <row r="240" spans="7:27" x14ac:dyDescent="0.25">
      <c r="G240" s="30"/>
      <c r="AA240" s="2"/>
    </row>
    <row r="241" spans="7:27" x14ac:dyDescent="0.25">
      <c r="G241" s="30"/>
      <c r="AA241" s="2"/>
    </row>
    <row r="242" spans="7:27" x14ac:dyDescent="0.25">
      <c r="G242" s="30"/>
      <c r="AA242" s="2"/>
    </row>
    <row r="243" spans="7:27" x14ac:dyDescent="0.25">
      <c r="G243" s="30"/>
      <c r="AA243" s="2"/>
    </row>
    <row r="244" spans="7:27" x14ac:dyDescent="0.25">
      <c r="G244" s="30"/>
      <c r="AA244" s="2"/>
    </row>
    <row r="245" spans="7:27" x14ac:dyDescent="0.25">
      <c r="G245" s="30"/>
      <c r="AA245" s="2"/>
    </row>
    <row r="246" spans="7:27" x14ac:dyDescent="0.25">
      <c r="G246" s="30"/>
      <c r="AA246" s="2"/>
    </row>
    <row r="247" spans="7:27" x14ac:dyDescent="0.25">
      <c r="G247" s="30"/>
      <c r="AA247" s="2"/>
    </row>
    <row r="248" spans="7:27" x14ac:dyDescent="0.25">
      <c r="G248" s="30"/>
      <c r="AA248" s="2"/>
    </row>
    <row r="249" spans="7:27" x14ac:dyDescent="0.25">
      <c r="G249" s="30"/>
      <c r="AA249" s="2"/>
    </row>
    <row r="250" spans="7:27" x14ac:dyDescent="0.25">
      <c r="G250" s="30"/>
      <c r="AA250" s="2"/>
    </row>
    <row r="251" spans="7:27" x14ac:dyDescent="0.25">
      <c r="G251" s="30"/>
      <c r="AA251" s="2"/>
    </row>
    <row r="252" spans="7:27" x14ac:dyDescent="0.25">
      <c r="G252" s="30"/>
      <c r="AA252" s="2"/>
    </row>
    <row r="253" spans="7:27" x14ac:dyDescent="0.25">
      <c r="G253" s="30"/>
      <c r="AA253" s="2"/>
    </row>
    <row r="254" spans="7:27" x14ac:dyDescent="0.25">
      <c r="G254" s="30"/>
      <c r="AA254" s="2"/>
    </row>
    <row r="255" spans="7:27" x14ac:dyDescent="0.25">
      <c r="G255" s="30"/>
      <c r="AA255" s="2"/>
    </row>
    <row r="256" spans="7:27" x14ac:dyDescent="0.25">
      <c r="G256" s="30"/>
      <c r="AA256" s="2"/>
    </row>
    <row r="257" spans="7:27" x14ac:dyDescent="0.25">
      <c r="G257" s="30"/>
      <c r="AA257" s="2"/>
    </row>
    <row r="258" spans="7:27" x14ac:dyDescent="0.25">
      <c r="G258" s="30"/>
      <c r="AA258" s="2"/>
    </row>
    <row r="259" spans="7:27" x14ac:dyDescent="0.25">
      <c r="G259" s="30"/>
      <c r="AA259" s="2"/>
    </row>
    <row r="260" spans="7:27" x14ac:dyDescent="0.25">
      <c r="G260" s="30"/>
      <c r="AA260" s="2"/>
    </row>
    <row r="261" spans="7:27" x14ac:dyDescent="0.25">
      <c r="G261" s="30"/>
      <c r="AA261" s="2"/>
    </row>
    <row r="262" spans="7:27" x14ac:dyDescent="0.25">
      <c r="G262" s="30"/>
      <c r="AA262" s="2"/>
    </row>
    <row r="263" spans="7:27" x14ac:dyDescent="0.25">
      <c r="G263" s="30"/>
      <c r="AA263" s="2"/>
    </row>
    <row r="264" spans="7:27" x14ac:dyDescent="0.25">
      <c r="G264" s="30"/>
      <c r="AA264" s="2"/>
    </row>
    <row r="265" spans="7:27" x14ac:dyDescent="0.25">
      <c r="G265" s="30"/>
      <c r="AA265" s="2"/>
    </row>
    <row r="266" spans="7:27" x14ac:dyDescent="0.25">
      <c r="G266" s="30"/>
      <c r="AA266" s="2"/>
    </row>
    <row r="267" spans="7:27" x14ac:dyDescent="0.25">
      <c r="G267" s="30"/>
      <c r="AA267" s="2"/>
    </row>
    <row r="268" spans="7:27" x14ac:dyDescent="0.25">
      <c r="G268" s="30"/>
      <c r="AA268" s="2"/>
    </row>
    <row r="269" spans="7:27" x14ac:dyDescent="0.25">
      <c r="G269" s="30"/>
      <c r="AA269" s="2"/>
    </row>
    <row r="270" spans="7:27" x14ac:dyDescent="0.25">
      <c r="G270" s="30"/>
      <c r="AA270" s="2"/>
    </row>
    <row r="271" spans="7:27" x14ac:dyDescent="0.25">
      <c r="G271" s="30"/>
      <c r="AA271" s="2"/>
    </row>
    <row r="272" spans="7:27" x14ac:dyDescent="0.25">
      <c r="G272" s="30"/>
      <c r="AA272" s="2"/>
    </row>
    <row r="273" spans="7:27" x14ac:dyDescent="0.25">
      <c r="G273" s="30"/>
      <c r="AA273" s="2"/>
    </row>
  </sheetData>
  <mergeCells count="12">
    <mergeCell ref="B11:R49"/>
    <mergeCell ref="A54:A92"/>
    <mergeCell ref="B54:R92"/>
    <mergeCell ref="B97:R135"/>
    <mergeCell ref="A99:A131"/>
    <mergeCell ref="E1:O3"/>
    <mergeCell ref="E4:E5"/>
    <mergeCell ref="F4:O5"/>
    <mergeCell ref="E6:E7"/>
    <mergeCell ref="F6:O7"/>
    <mergeCell ref="E8:E9"/>
    <mergeCell ref="F8:O9"/>
  </mergeCells>
  <pageMargins left="0.19685039370078741" right="0.19685039370078741" top="0.19685039370078741" bottom="0.19685039370078741" header="0" footer="0.35433070866141736"/>
  <pageSetup paperSize="9" scale="39" fitToHeight="3" orientation="portrait" horizontalDpi="1200" verticalDpi="1200" r:id="rId1"/>
  <headerFooter alignWithMargins="0">
    <oddFooter xml:space="preserve">&amp;C&amp;18Tooshop | M. Santos | &amp;D&amp;R&amp;18Página &amp;P de &amp;N         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273"/>
  <sheetViews>
    <sheetView view="pageBreakPreview" zoomScale="37" zoomScaleNormal="70" zoomScaleSheetLayoutView="37" workbookViewId="0">
      <selection activeCell="T57" sqref="T57"/>
    </sheetView>
  </sheetViews>
  <sheetFormatPr defaultRowHeight="15" x14ac:dyDescent="0.25"/>
  <cols>
    <col min="1" max="1" width="4.7109375" style="2" customWidth="1"/>
    <col min="2" max="2" width="9.140625" style="2"/>
    <col min="3" max="4" width="15.7109375" style="2" customWidth="1"/>
    <col min="5" max="5" width="30.7109375" style="2" customWidth="1"/>
    <col min="6" max="6" width="18.7109375" style="2" customWidth="1"/>
    <col min="7" max="13" width="9.140625" style="2"/>
    <col min="14" max="14" width="25.7109375" style="2" customWidth="1"/>
    <col min="15" max="15" width="30.7109375" style="2" customWidth="1"/>
    <col min="16" max="17" width="15.7109375" style="2" customWidth="1"/>
    <col min="18" max="18" width="9.140625" style="2" customWidth="1"/>
    <col min="19" max="19" width="4.5703125" style="2" customWidth="1"/>
    <col min="20" max="20" width="50.140625" style="2" customWidth="1"/>
    <col min="21" max="21" width="6.85546875" style="2" customWidth="1"/>
    <col min="22" max="22" width="6.5703125" style="2" customWidth="1"/>
    <col min="23" max="23" width="6.7109375" style="2" customWidth="1"/>
    <col min="24" max="24" width="7.28515625" style="2" customWidth="1"/>
    <col min="25" max="25" width="9.140625" style="2"/>
    <col min="26" max="26" width="39" style="2" bestFit="1" customWidth="1"/>
    <col min="27" max="27" width="13.5703125" style="30" bestFit="1" customWidth="1"/>
    <col min="28" max="28" width="10.42578125" style="2" bestFit="1" customWidth="1"/>
    <col min="29" max="29" width="19.42578125" style="2" bestFit="1" customWidth="1"/>
    <col min="30" max="30" width="5.42578125" style="2" bestFit="1" customWidth="1"/>
    <col min="31" max="16384" width="9.140625" style="2"/>
  </cols>
  <sheetData>
    <row r="1" spans="1:30" ht="15" customHeight="1" x14ac:dyDescent="0.25">
      <c r="A1" s="13"/>
      <c r="B1" s="3"/>
      <c r="C1" s="3"/>
      <c r="D1" s="3"/>
      <c r="E1" s="116" t="s">
        <v>3</v>
      </c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3"/>
      <c r="Q1" s="3"/>
      <c r="R1" s="3"/>
      <c r="S1" s="4"/>
      <c r="T1" s="10"/>
      <c r="Z1" s="49" t="s">
        <v>4</v>
      </c>
      <c r="AA1" s="88"/>
      <c r="AB1" s="102"/>
      <c r="AC1" s="103"/>
      <c r="AD1" s="104"/>
    </row>
    <row r="2" spans="1:30" ht="15" customHeight="1" x14ac:dyDescent="0.25">
      <c r="A2" s="14"/>
      <c r="B2" s="56"/>
      <c r="C2" s="56"/>
      <c r="D2" s="56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58"/>
      <c r="Q2" s="56"/>
      <c r="R2" s="56"/>
      <c r="S2" s="6"/>
      <c r="Z2" s="50" t="s">
        <v>477</v>
      </c>
      <c r="AA2" s="89"/>
      <c r="AB2" s="95"/>
      <c r="AC2" s="95"/>
      <c r="AD2" s="105"/>
    </row>
    <row r="3" spans="1:30" ht="15" customHeight="1" x14ac:dyDescent="0.25">
      <c r="A3" s="14"/>
      <c r="B3" s="56"/>
      <c r="C3" s="56"/>
      <c r="D3" s="56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58"/>
      <c r="Q3" s="56"/>
      <c r="R3" s="56"/>
      <c r="S3" s="6"/>
      <c r="Z3" s="50" t="s">
        <v>476</v>
      </c>
      <c r="AA3" s="89"/>
      <c r="AB3" s="95"/>
      <c r="AC3" s="95"/>
      <c r="AD3" s="105"/>
    </row>
    <row r="4" spans="1:30" ht="15" customHeight="1" x14ac:dyDescent="0.25">
      <c r="A4" s="14"/>
      <c r="B4" s="56"/>
      <c r="C4" s="56"/>
      <c r="D4" s="56"/>
      <c r="E4" s="129" t="str">
        <f>"Projeto: "</f>
        <v xml:space="preserve">Projeto: </v>
      </c>
      <c r="F4" s="131">
        <f>T7</f>
        <v>0</v>
      </c>
      <c r="G4" s="131"/>
      <c r="H4" s="131"/>
      <c r="I4" s="131"/>
      <c r="J4" s="131"/>
      <c r="K4" s="131"/>
      <c r="L4" s="131"/>
      <c r="M4" s="131"/>
      <c r="N4" s="131"/>
      <c r="O4" s="132"/>
      <c r="P4" s="58"/>
      <c r="Q4" s="56"/>
      <c r="R4" s="56"/>
      <c r="S4" s="6"/>
      <c r="Z4" s="50" t="s">
        <v>218</v>
      </c>
      <c r="AA4" s="89"/>
      <c r="AB4" s="95"/>
      <c r="AC4" s="95"/>
      <c r="AD4" s="105"/>
    </row>
    <row r="5" spans="1:30" ht="15" customHeight="1" x14ac:dyDescent="0.25">
      <c r="A5" s="80"/>
      <c r="B5" s="54"/>
      <c r="C5" s="55"/>
      <c r="D5" s="55"/>
      <c r="E5" s="130"/>
      <c r="F5" s="133"/>
      <c r="G5" s="133"/>
      <c r="H5" s="133"/>
      <c r="I5" s="133"/>
      <c r="J5" s="133"/>
      <c r="K5" s="133"/>
      <c r="L5" s="133"/>
      <c r="M5" s="133"/>
      <c r="N5" s="133"/>
      <c r="O5" s="134"/>
      <c r="P5" s="58"/>
      <c r="Q5" s="55"/>
      <c r="R5" s="55"/>
      <c r="S5" s="6"/>
      <c r="Z5" s="50" t="s">
        <v>475</v>
      </c>
      <c r="AA5" s="89"/>
      <c r="AB5" s="95"/>
      <c r="AC5" s="95"/>
      <c r="AD5" s="105"/>
    </row>
    <row r="6" spans="1:30" ht="15" customHeight="1" x14ac:dyDescent="0.25">
      <c r="A6" s="80"/>
      <c r="B6" s="54"/>
      <c r="C6" s="55"/>
      <c r="D6" s="55"/>
      <c r="E6" s="135" t="str">
        <f>"Peça: "</f>
        <v xml:space="preserve">Peça: </v>
      </c>
      <c r="F6" s="136">
        <f>T8</f>
        <v>0</v>
      </c>
      <c r="G6" s="136"/>
      <c r="H6" s="136"/>
      <c r="I6" s="136"/>
      <c r="J6" s="136"/>
      <c r="K6" s="136"/>
      <c r="L6" s="136"/>
      <c r="M6" s="136"/>
      <c r="N6" s="136"/>
      <c r="O6" s="137"/>
      <c r="P6" s="58"/>
      <c r="Q6" s="55"/>
      <c r="R6" s="55"/>
      <c r="S6" s="6"/>
      <c r="T6" s="17" t="s">
        <v>141</v>
      </c>
      <c r="Z6" s="50" t="s">
        <v>249</v>
      </c>
      <c r="AA6" s="89"/>
      <c r="AB6" s="95"/>
      <c r="AC6" s="95"/>
      <c r="AD6" s="105"/>
    </row>
    <row r="7" spans="1:30" ht="15" customHeight="1" x14ac:dyDescent="0.25">
      <c r="A7" s="80"/>
      <c r="B7" s="54"/>
      <c r="C7" s="55"/>
      <c r="D7" s="55"/>
      <c r="E7" s="130"/>
      <c r="F7" s="133"/>
      <c r="G7" s="133"/>
      <c r="H7" s="133"/>
      <c r="I7" s="133"/>
      <c r="J7" s="133"/>
      <c r="K7" s="133"/>
      <c r="L7" s="133"/>
      <c r="M7" s="133"/>
      <c r="N7" s="133"/>
      <c r="O7" s="134"/>
      <c r="P7" s="55"/>
      <c r="Q7" s="55"/>
      <c r="R7" s="55"/>
      <c r="S7" s="6"/>
      <c r="T7" s="53"/>
      <c r="Z7" s="50" t="s">
        <v>2</v>
      </c>
      <c r="AA7" s="89">
        <f>SUM(AA2:AA6)</f>
        <v>0</v>
      </c>
      <c r="AB7" s="95">
        <f>SUM(AB2:AB6)</f>
        <v>0</v>
      </c>
      <c r="AC7" s="95"/>
      <c r="AD7" s="105"/>
    </row>
    <row r="8" spans="1:30" ht="15" customHeight="1" x14ac:dyDescent="0.25">
      <c r="A8" s="15"/>
      <c r="E8" s="135" t="str">
        <f>"Ano: "</f>
        <v xml:space="preserve">Ano: </v>
      </c>
      <c r="F8" s="136">
        <f>T9</f>
        <v>0</v>
      </c>
      <c r="G8" s="136"/>
      <c r="H8" s="136"/>
      <c r="I8" s="136"/>
      <c r="J8" s="136"/>
      <c r="K8" s="136"/>
      <c r="L8" s="136"/>
      <c r="M8" s="136"/>
      <c r="N8" s="136"/>
      <c r="O8" s="137"/>
      <c r="S8" s="6"/>
      <c r="Z8" s="48" t="s">
        <v>5</v>
      </c>
      <c r="AA8" s="90"/>
      <c r="AB8" s="106"/>
      <c r="AC8" s="106"/>
      <c r="AD8" s="107"/>
    </row>
    <row r="9" spans="1:30" ht="15" customHeight="1" x14ac:dyDescent="0.25">
      <c r="A9" s="81"/>
      <c r="B9" s="57"/>
      <c r="C9" s="57"/>
      <c r="D9" s="57"/>
      <c r="E9" s="130"/>
      <c r="F9" s="133"/>
      <c r="G9" s="133"/>
      <c r="H9" s="133"/>
      <c r="I9" s="133"/>
      <c r="J9" s="133"/>
      <c r="K9" s="133"/>
      <c r="L9" s="133"/>
      <c r="M9" s="133"/>
      <c r="N9" s="133"/>
      <c r="O9" s="134"/>
      <c r="P9" s="57"/>
      <c r="Q9" s="57"/>
      <c r="R9" s="57"/>
      <c r="S9" s="6"/>
      <c r="Z9" s="44" t="s">
        <v>8</v>
      </c>
      <c r="AA9" s="91"/>
      <c r="AB9" s="108"/>
      <c r="AC9" s="108"/>
      <c r="AD9" s="109"/>
    </row>
    <row r="10" spans="1:30" x14ac:dyDescent="0.25">
      <c r="A10" s="81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6"/>
      <c r="Z10" s="44" t="s">
        <v>7</v>
      </c>
      <c r="AA10" s="91"/>
      <c r="AB10" s="108"/>
      <c r="AC10" s="108"/>
      <c r="AD10" s="109"/>
    </row>
    <row r="11" spans="1:30" ht="15" customHeight="1" x14ac:dyDescent="0.25">
      <c r="A11" s="81"/>
      <c r="B11" s="118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6"/>
      <c r="Z11" s="44" t="s">
        <v>41</v>
      </c>
      <c r="AA11" s="91"/>
      <c r="AB11" s="108"/>
      <c r="AC11" s="108"/>
      <c r="AD11" s="109"/>
    </row>
    <row r="12" spans="1:30" ht="15" customHeight="1" x14ac:dyDescent="0.25">
      <c r="A12" s="81"/>
      <c r="B12" s="118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6"/>
      <c r="Z12" s="44" t="s">
        <v>40</v>
      </c>
      <c r="AA12" s="91"/>
      <c r="AB12" s="108"/>
      <c r="AC12" s="108"/>
      <c r="AD12" s="109"/>
    </row>
    <row r="13" spans="1:30" ht="15" customHeight="1" x14ac:dyDescent="0.25">
      <c r="A13" s="81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6"/>
      <c r="T13" s="12"/>
      <c r="Z13" s="44" t="s">
        <v>1</v>
      </c>
      <c r="AA13" s="91"/>
      <c r="AB13" s="108"/>
      <c r="AC13" s="108"/>
      <c r="AD13" s="109"/>
    </row>
    <row r="14" spans="1:30" ht="15" customHeight="1" x14ac:dyDescent="0.25">
      <c r="A14" s="81"/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6"/>
      <c r="T14" s="11"/>
      <c r="Z14" s="96" t="s">
        <v>356</v>
      </c>
      <c r="AA14" s="94"/>
      <c r="AB14" s="110"/>
      <c r="AC14" s="110"/>
      <c r="AD14" s="111"/>
    </row>
    <row r="15" spans="1:30" ht="15" customHeight="1" x14ac:dyDescent="0.25">
      <c r="A15" s="81"/>
      <c r="B15" s="118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6"/>
      <c r="Z15" s="45" t="s">
        <v>353</v>
      </c>
      <c r="AA15" s="98"/>
      <c r="AB15" s="99"/>
      <c r="AC15" s="100"/>
      <c r="AD15" s="101"/>
    </row>
    <row r="16" spans="1:30" ht="15" customHeight="1" x14ac:dyDescent="0.25">
      <c r="A16" s="81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6"/>
      <c r="Z16" s="45" t="s">
        <v>185</v>
      </c>
      <c r="AA16" s="98"/>
      <c r="AB16" s="99"/>
      <c r="AC16" s="100"/>
      <c r="AD16" s="101"/>
    </row>
    <row r="17" spans="1:30" x14ac:dyDescent="0.25">
      <c r="A17" s="81"/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6"/>
      <c r="Z17" s="45" t="s">
        <v>210</v>
      </c>
      <c r="AA17" s="98"/>
      <c r="AB17" s="99"/>
      <c r="AC17" s="100"/>
      <c r="AD17" s="101"/>
    </row>
    <row r="18" spans="1:30" x14ac:dyDescent="0.25">
      <c r="A18" s="81"/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6"/>
      <c r="Z18" s="45" t="s">
        <v>354</v>
      </c>
      <c r="AA18" s="98"/>
      <c r="AB18" s="99"/>
      <c r="AC18" s="100"/>
      <c r="AD18" s="101"/>
    </row>
    <row r="19" spans="1:30" x14ac:dyDescent="0.25">
      <c r="A19" s="81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6"/>
      <c r="Z19" s="45" t="s">
        <v>46</v>
      </c>
      <c r="AA19" s="98"/>
      <c r="AB19" s="99"/>
      <c r="AC19" s="100"/>
      <c r="AD19" s="101"/>
    </row>
    <row r="20" spans="1:30" x14ac:dyDescent="0.25">
      <c r="A20" s="81"/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6"/>
      <c r="Z20" s="45" t="s">
        <v>204</v>
      </c>
      <c r="AA20" s="98"/>
      <c r="AB20" s="99"/>
      <c r="AC20" s="100"/>
      <c r="AD20" s="101"/>
    </row>
    <row r="21" spans="1:30" x14ac:dyDescent="0.25">
      <c r="A21" s="81"/>
      <c r="B21" s="118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6"/>
      <c r="Z21" s="45" t="s">
        <v>143</v>
      </c>
      <c r="AA21" s="98"/>
      <c r="AB21" s="99"/>
      <c r="AC21" s="100"/>
      <c r="AD21" s="101"/>
    </row>
    <row r="22" spans="1:30" x14ac:dyDescent="0.25">
      <c r="A22" s="81"/>
      <c r="B22" s="118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6"/>
      <c r="Z22" s="45" t="s">
        <v>147</v>
      </c>
      <c r="AA22" s="98"/>
      <c r="AB22" s="99"/>
      <c r="AC22" s="100"/>
      <c r="AD22" s="101"/>
    </row>
    <row r="23" spans="1:30" x14ac:dyDescent="0.25">
      <c r="A23" s="81"/>
      <c r="B23" s="118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6"/>
      <c r="Z23" s="45" t="s">
        <v>57</v>
      </c>
      <c r="AA23" s="98"/>
      <c r="AB23" s="99"/>
      <c r="AC23" s="100"/>
      <c r="AD23" s="101"/>
    </row>
    <row r="24" spans="1:30" x14ac:dyDescent="0.25">
      <c r="A24" s="81"/>
      <c r="B24" s="11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6"/>
      <c r="Z24" s="46" t="s">
        <v>52</v>
      </c>
      <c r="AA24" s="98"/>
      <c r="AB24" s="99"/>
      <c r="AC24" s="100"/>
      <c r="AD24" s="101"/>
    </row>
    <row r="25" spans="1:30" x14ac:dyDescent="0.25">
      <c r="A25" s="81"/>
      <c r="B25" s="118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6"/>
      <c r="Z25" s="46"/>
      <c r="AA25" s="98"/>
      <c r="AB25" s="99"/>
      <c r="AC25" s="100"/>
      <c r="AD25" s="101"/>
    </row>
    <row r="26" spans="1:30" x14ac:dyDescent="0.25">
      <c r="A26" s="81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6"/>
      <c r="Z26" s="46"/>
      <c r="AA26" s="92"/>
      <c r="AB26" s="100"/>
      <c r="AC26" s="100"/>
      <c r="AD26" s="101"/>
    </row>
    <row r="27" spans="1:30" x14ac:dyDescent="0.25">
      <c r="A27" s="81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6"/>
      <c r="Z27" s="46"/>
      <c r="AA27" s="92"/>
      <c r="AB27" s="100"/>
      <c r="AC27" s="100"/>
      <c r="AD27" s="101"/>
    </row>
    <row r="28" spans="1:30" x14ac:dyDescent="0.25">
      <c r="A28" s="81"/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6"/>
      <c r="Z28" s="97"/>
      <c r="AA28" s="92" t="s">
        <v>8</v>
      </c>
      <c r="AB28" s="100" t="s">
        <v>7</v>
      </c>
      <c r="AC28" s="100" t="s">
        <v>41</v>
      </c>
      <c r="AD28" s="101" t="s">
        <v>479</v>
      </c>
    </row>
    <row r="29" spans="1:30" x14ac:dyDescent="0.25">
      <c r="A29" s="81"/>
      <c r="B29" s="118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6"/>
      <c r="Z29" s="46"/>
      <c r="AA29" s="92"/>
      <c r="AB29" s="100"/>
      <c r="AC29" s="100"/>
      <c r="AD29" s="101"/>
    </row>
    <row r="30" spans="1:30" x14ac:dyDescent="0.25">
      <c r="A30" s="81"/>
      <c r="B30" s="118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6"/>
      <c r="Z30" s="46"/>
      <c r="AA30" s="92"/>
      <c r="AB30" s="100"/>
      <c r="AC30" s="100"/>
      <c r="AD30" s="101"/>
    </row>
    <row r="31" spans="1:30" x14ac:dyDescent="0.25">
      <c r="A31" s="81"/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6"/>
      <c r="Z31" s="46"/>
      <c r="AA31" s="92"/>
      <c r="AB31" s="100"/>
      <c r="AC31" s="100"/>
      <c r="AD31" s="101"/>
    </row>
    <row r="32" spans="1:30" x14ac:dyDescent="0.25">
      <c r="A32" s="81"/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6"/>
      <c r="Z32" s="46"/>
      <c r="AA32" s="92"/>
      <c r="AB32" s="100"/>
      <c r="AC32" s="100"/>
      <c r="AD32" s="101"/>
    </row>
    <row r="33" spans="1:30" x14ac:dyDescent="0.25">
      <c r="A33" s="81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6"/>
      <c r="Z33" s="46"/>
      <c r="AA33" s="92"/>
      <c r="AB33" s="100"/>
      <c r="AC33" s="100"/>
      <c r="AD33" s="101"/>
    </row>
    <row r="34" spans="1:30" x14ac:dyDescent="0.25">
      <c r="A34" s="81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6"/>
      <c r="Z34" s="97"/>
      <c r="AA34" s="92"/>
      <c r="AB34" s="100"/>
      <c r="AC34" s="100"/>
      <c r="AD34" s="101"/>
    </row>
    <row r="35" spans="1:30" x14ac:dyDescent="0.25">
      <c r="A35" s="81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6"/>
      <c r="Z35" s="46"/>
      <c r="AA35" s="92"/>
      <c r="AB35" s="100"/>
      <c r="AC35" s="100"/>
      <c r="AD35" s="101"/>
    </row>
    <row r="36" spans="1:30" x14ac:dyDescent="0.25">
      <c r="A36" s="81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6"/>
      <c r="Z36" s="46"/>
      <c r="AA36" s="92"/>
      <c r="AB36" s="100"/>
      <c r="AC36" s="100"/>
      <c r="AD36" s="101"/>
    </row>
    <row r="37" spans="1:30" x14ac:dyDescent="0.25">
      <c r="A37" s="81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6"/>
      <c r="Z37" s="46"/>
      <c r="AA37" s="92"/>
      <c r="AB37" s="100"/>
      <c r="AC37" s="100"/>
      <c r="AD37" s="101"/>
    </row>
    <row r="38" spans="1:30" x14ac:dyDescent="0.25">
      <c r="A38" s="81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6"/>
      <c r="Z38" s="46"/>
      <c r="AA38" s="92"/>
      <c r="AB38" s="100"/>
      <c r="AC38" s="100"/>
      <c r="AD38" s="101"/>
    </row>
    <row r="39" spans="1:30" ht="15.75" thickBot="1" x14ac:dyDescent="0.3">
      <c r="A39" s="81"/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6"/>
      <c r="Z39" s="47"/>
      <c r="AA39" s="93"/>
      <c r="AB39" s="112"/>
      <c r="AC39" s="112"/>
      <c r="AD39" s="113"/>
    </row>
    <row r="40" spans="1:30" x14ac:dyDescent="0.25">
      <c r="A40" s="81"/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6"/>
    </row>
    <row r="41" spans="1:30" x14ac:dyDescent="0.25">
      <c r="A41" s="81"/>
      <c r="B41" s="118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6"/>
    </row>
    <row r="42" spans="1:30" x14ac:dyDescent="0.25">
      <c r="A42" s="5"/>
      <c r="B42" s="118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6"/>
    </row>
    <row r="43" spans="1:30" x14ac:dyDescent="0.25">
      <c r="A43" s="5"/>
      <c r="B43" s="118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6"/>
    </row>
    <row r="44" spans="1:30" x14ac:dyDescent="0.25">
      <c r="A44" s="5"/>
      <c r="B44" s="118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6"/>
    </row>
    <row r="45" spans="1:30" x14ac:dyDescent="0.25">
      <c r="A45" s="5"/>
      <c r="B45" s="118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8"/>
      <c r="Q45" s="118"/>
      <c r="R45" s="118"/>
      <c r="S45" s="6"/>
    </row>
    <row r="46" spans="1:30" x14ac:dyDescent="0.25">
      <c r="A46" s="15"/>
      <c r="B46" s="118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6"/>
    </row>
    <row r="47" spans="1:30" ht="15" customHeight="1" x14ac:dyDescent="0.25">
      <c r="A47" s="14"/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6"/>
    </row>
    <row r="48" spans="1:30" ht="15" customHeight="1" x14ac:dyDescent="0.25">
      <c r="A48" s="14"/>
      <c r="B48" s="118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6"/>
    </row>
    <row r="49" spans="1:19" ht="15" customHeight="1" x14ac:dyDescent="0.25">
      <c r="A49" s="14"/>
      <c r="B49" s="118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6"/>
    </row>
    <row r="50" spans="1:19" ht="15" customHeight="1" x14ac:dyDescent="0.25">
      <c r="A50" s="80"/>
      <c r="B50" s="54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6"/>
    </row>
    <row r="51" spans="1:19" ht="15" customHeight="1" x14ac:dyDescent="0.25">
      <c r="A51" s="80"/>
      <c r="B51" s="59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"/>
    </row>
    <row r="52" spans="1:19" ht="15" customHeight="1" x14ac:dyDescent="0.25">
      <c r="A52" s="80"/>
      <c r="B52" s="54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6"/>
    </row>
    <row r="53" spans="1:19" x14ac:dyDescent="0.25">
      <c r="A53" s="15"/>
      <c r="S53" s="6"/>
    </row>
    <row r="54" spans="1:19" ht="15" customHeight="1" x14ac:dyDescent="0.25">
      <c r="A54" s="127" t="s">
        <v>163</v>
      </c>
      <c r="B54" s="118"/>
      <c r="C54" s="118"/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6"/>
    </row>
    <row r="55" spans="1:19" x14ac:dyDescent="0.25">
      <c r="A55" s="127"/>
      <c r="B55" s="118"/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6"/>
    </row>
    <row r="56" spans="1:19" x14ac:dyDescent="0.25">
      <c r="A56" s="127"/>
      <c r="B56" s="118"/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6"/>
    </row>
    <row r="57" spans="1:19" x14ac:dyDescent="0.25">
      <c r="A57" s="127"/>
      <c r="B57" s="118"/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6"/>
    </row>
    <row r="58" spans="1:19" x14ac:dyDescent="0.25">
      <c r="A58" s="127"/>
      <c r="B58" s="118"/>
      <c r="C58" s="118"/>
      <c r="D58" s="118"/>
      <c r="E58" s="118"/>
      <c r="F58" s="118"/>
      <c r="G58" s="118"/>
      <c r="H58" s="118"/>
      <c r="I58" s="118"/>
      <c r="J58" s="118"/>
      <c r="K58" s="118"/>
      <c r="L58" s="118"/>
      <c r="M58" s="118"/>
      <c r="N58" s="118"/>
      <c r="O58" s="118"/>
      <c r="P58" s="118"/>
      <c r="Q58" s="118"/>
      <c r="R58" s="118"/>
      <c r="S58" s="6"/>
    </row>
    <row r="59" spans="1:19" x14ac:dyDescent="0.25">
      <c r="A59" s="127"/>
      <c r="B59" s="118"/>
      <c r="C59" s="118"/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6"/>
    </row>
    <row r="60" spans="1:19" x14ac:dyDescent="0.25">
      <c r="A60" s="127"/>
      <c r="B60" s="118"/>
      <c r="C60" s="118"/>
      <c r="D60" s="118"/>
      <c r="E60" s="118"/>
      <c r="F60" s="118"/>
      <c r="G60" s="118"/>
      <c r="H60" s="118"/>
      <c r="I60" s="118"/>
      <c r="J60" s="118"/>
      <c r="K60" s="118"/>
      <c r="L60" s="118"/>
      <c r="M60" s="118"/>
      <c r="N60" s="118"/>
      <c r="O60" s="118"/>
      <c r="P60" s="118"/>
      <c r="Q60" s="118"/>
      <c r="R60" s="118"/>
      <c r="S60" s="6"/>
    </row>
    <row r="61" spans="1:19" x14ac:dyDescent="0.25">
      <c r="A61" s="127"/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6"/>
    </row>
    <row r="62" spans="1:19" x14ac:dyDescent="0.25">
      <c r="A62" s="127"/>
      <c r="B62" s="118"/>
      <c r="C62" s="118"/>
      <c r="D62" s="118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6"/>
    </row>
    <row r="63" spans="1:19" x14ac:dyDescent="0.25">
      <c r="A63" s="127"/>
      <c r="B63" s="118"/>
      <c r="C63" s="118"/>
      <c r="D63" s="118"/>
      <c r="E63" s="118"/>
      <c r="F63" s="118"/>
      <c r="G63" s="118"/>
      <c r="H63" s="118"/>
      <c r="I63" s="118"/>
      <c r="J63" s="118"/>
      <c r="K63" s="118"/>
      <c r="L63" s="118"/>
      <c r="M63" s="118"/>
      <c r="N63" s="118"/>
      <c r="O63" s="118"/>
      <c r="P63" s="118"/>
      <c r="Q63" s="118"/>
      <c r="R63" s="118"/>
      <c r="S63" s="6"/>
    </row>
    <row r="64" spans="1:19" x14ac:dyDescent="0.25">
      <c r="A64" s="127"/>
      <c r="B64" s="118"/>
      <c r="C64" s="118"/>
      <c r="D64" s="118"/>
      <c r="E64" s="118"/>
      <c r="F64" s="118"/>
      <c r="G64" s="118"/>
      <c r="H64" s="118"/>
      <c r="I64" s="118"/>
      <c r="J64" s="118"/>
      <c r="K64" s="118"/>
      <c r="L64" s="118"/>
      <c r="M64" s="118"/>
      <c r="N64" s="118"/>
      <c r="O64" s="118"/>
      <c r="P64" s="118"/>
      <c r="Q64" s="118"/>
      <c r="R64" s="118"/>
      <c r="S64" s="6"/>
    </row>
    <row r="65" spans="1:19" x14ac:dyDescent="0.25">
      <c r="A65" s="127"/>
      <c r="B65" s="118"/>
      <c r="C65" s="118"/>
      <c r="D65" s="118"/>
      <c r="E65" s="118"/>
      <c r="F65" s="118"/>
      <c r="G65" s="118"/>
      <c r="H65" s="118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6"/>
    </row>
    <row r="66" spans="1:19" x14ac:dyDescent="0.25">
      <c r="A66" s="127"/>
      <c r="B66" s="118"/>
      <c r="C66" s="118"/>
      <c r="D66" s="118"/>
      <c r="E66" s="118"/>
      <c r="F66" s="118"/>
      <c r="G66" s="118"/>
      <c r="H66" s="118"/>
      <c r="I66" s="118"/>
      <c r="J66" s="118"/>
      <c r="K66" s="118"/>
      <c r="L66" s="118"/>
      <c r="M66" s="118"/>
      <c r="N66" s="118"/>
      <c r="O66" s="118"/>
      <c r="P66" s="118"/>
      <c r="Q66" s="118"/>
      <c r="R66" s="118"/>
      <c r="S66" s="6"/>
    </row>
    <row r="67" spans="1:19" x14ac:dyDescent="0.25">
      <c r="A67" s="127"/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6"/>
    </row>
    <row r="68" spans="1:19" x14ac:dyDescent="0.25">
      <c r="A68" s="127"/>
      <c r="B68" s="118"/>
      <c r="C68" s="118"/>
      <c r="D68" s="118"/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118"/>
      <c r="Q68" s="118"/>
      <c r="R68" s="118"/>
      <c r="S68" s="6"/>
    </row>
    <row r="69" spans="1:19" x14ac:dyDescent="0.25">
      <c r="A69" s="127"/>
      <c r="B69" s="118"/>
      <c r="C69" s="118"/>
      <c r="D69" s="118"/>
      <c r="E69" s="118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118"/>
      <c r="Q69" s="118"/>
      <c r="R69" s="118"/>
      <c r="S69" s="6"/>
    </row>
    <row r="70" spans="1:19" x14ac:dyDescent="0.25">
      <c r="A70" s="127"/>
      <c r="B70" s="118"/>
      <c r="C70" s="118"/>
      <c r="D70" s="118"/>
      <c r="E70" s="118"/>
      <c r="F70" s="118"/>
      <c r="G70" s="118"/>
      <c r="H70" s="118"/>
      <c r="I70" s="118"/>
      <c r="J70" s="118"/>
      <c r="K70" s="118"/>
      <c r="L70" s="118"/>
      <c r="M70" s="118"/>
      <c r="N70" s="118"/>
      <c r="O70" s="118"/>
      <c r="P70" s="118"/>
      <c r="Q70" s="118"/>
      <c r="R70" s="118"/>
      <c r="S70" s="6"/>
    </row>
    <row r="71" spans="1:19" x14ac:dyDescent="0.25">
      <c r="A71" s="127"/>
      <c r="B71" s="118"/>
      <c r="C71" s="118"/>
      <c r="D71" s="118"/>
      <c r="E71" s="118"/>
      <c r="F71" s="118"/>
      <c r="G71" s="118"/>
      <c r="H71" s="118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6"/>
    </row>
    <row r="72" spans="1:19" x14ac:dyDescent="0.25">
      <c r="A72" s="127"/>
      <c r="B72" s="118"/>
      <c r="C72" s="118"/>
      <c r="D72" s="118"/>
      <c r="E72" s="118"/>
      <c r="F72" s="118"/>
      <c r="G72" s="118"/>
      <c r="H72" s="118"/>
      <c r="I72" s="118"/>
      <c r="J72" s="118"/>
      <c r="K72" s="118"/>
      <c r="L72" s="118"/>
      <c r="M72" s="118"/>
      <c r="N72" s="118"/>
      <c r="O72" s="118"/>
      <c r="P72" s="118"/>
      <c r="Q72" s="118"/>
      <c r="R72" s="118"/>
      <c r="S72" s="6"/>
    </row>
    <row r="73" spans="1:19" x14ac:dyDescent="0.25">
      <c r="A73" s="127"/>
      <c r="B73" s="118"/>
      <c r="C73" s="118"/>
      <c r="D73" s="118"/>
      <c r="E73" s="118"/>
      <c r="F73" s="118"/>
      <c r="G73" s="118"/>
      <c r="H73" s="118"/>
      <c r="I73" s="118"/>
      <c r="J73" s="118"/>
      <c r="K73" s="118"/>
      <c r="L73" s="118"/>
      <c r="M73" s="118"/>
      <c r="N73" s="118"/>
      <c r="O73" s="118"/>
      <c r="P73" s="118"/>
      <c r="Q73" s="118"/>
      <c r="R73" s="118"/>
      <c r="S73" s="6"/>
    </row>
    <row r="74" spans="1:19" x14ac:dyDescent="0.25">
      <c r="A74" s="127"/>
      <c r="B74" s="118"/>
      <c r="C74" s="118"/>
      <c r="D74" s="118"/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6"/>
    </row>
    <row r="75" spans="1:19" x14ac:dyDescent="0.25">
      <c r="A75" s="127"/>
      <c r="B75" s="118"/>
      <c r="C75" s="118"/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6"/>
    </row>
    <row r="76" spans="1:19" x14ac:dyDescent="0.25">
      <c r="A76" s="127"/>
      <c r="B76" s="118"/>
      <c r="C76" s="118"/>
      <c r="D76" s="118"/>
      <c r="E76" s="118"/>
      <c r="F76" s="118"/>
      <c r="G76" s="118"/>
      <c r="H76" s="118"/>
      <c r="I76" s="118"/>
      <c r="J76" s="118"/>
      <c r="K76" s="118"/>
      <c r="L76" s="118"/>
      <c r="M76" s="118"/>
      <c r="N76" s="118"/>
      <c r="O76" s="118"/>
      <c r="P76" s="118"/>
      <c r="Q76" s="118"/>
      <c r="R76" s="118"/>
      <c r="S76" s="6"/>
    </row>
    <row r="77" spans="1:19" x14ac:dyDescent="0.25">
      <c r="A77" s="127"/>
      <c r="B77" s="118"/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6"/>
    </row>
    <row r="78" spans="1:19" x14ac:dyDescent="0.25">
      <c r="A78" s="127"/>
      <c r="B78" s="118"/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6"/>
    </row>
    <row r="79" spans="1:19" x14ac:dyDescent="0.25">
      <c r="A79" s="127"/>
      <c r="B79" s="118"/>
      <c r="C79" s="118"/>
      <c r="D79" s="118"/>
      <c r="E79" s="118"/>
      <c r="F79" s="118"/>
      <c r="G79" s="118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6"/>
    </row>
    <row r="80" spans="1:19" x14ac:dyDescent="0.25">
      <c r="A80" s="127"/>
      <c r="B80" s="118"/>
      <c r="C80" s="118"/>
      <c r="D80" s="118"/>
      <c r="E80" s="118"/>
      <c r="F80" s="118"/>
      <c r="G80" s="118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6"/>
    </row>
    <row r="81" spans="1:26" x14ac:dyDescent="0.25">
      <c r="A81" s="127"/>
      <c r="B81" s="118"/>
      <c r="C81" s="118"/>
      <c r="D81" s="118"/>
      <c r="E81" s="118"/>
      <c r="F81" s="118"/>
      <c r="G81" s="118"/>
      <c r="H81" s="118"/>
      <c r="I81" s="118"/>
      <c r="J81" s="118"/>
      <c r="K81" s="118"/>
      <c r="L81" s="118"/>
      <c r="M81" s="118"/>
      <c r="N81" s="118"/>
      <c r="O81" s="118"/>
      <c r="P81" s="118"/>
      <c r="Q81" s="118"/>
      <c r="R81" s="118"/>
      <c r="S81" s="6"/>
    </row>
    <row r="82" spans="1:26" x14ac:dyDescent="0.25">
      <c r="A82" s="127"/>
      <c r="B82" s="118"/>
      <c r="C82" s="118"/>
      <c r="D82" s="118"/>
      <c r="E82" s="118"/>
      <c r="F82" s="118"/>
      <c r="G82" s="118"/>
      <c r="H82" s="118"/>
      <c r="I82" s="118"/>
      <c r="J82" s="118"/>
      <c r="K82" s="118"/>
      <c r="L82" s="118"/>
      <c r="M82" s="118"/>
      <c r="N82" s="118"/>
      <c r="O82" s="118"/>
      <c r="P82" s="118"/>
      <c r="Q82" s="118"/>
      <c r="R82" s="118"/>
      <c r="S82" s="6"/>
    </row>
    <row r="83" spans="1:26" x14ac:dyDescent="0.25">
      <c r="A83" s="127"/>
      <c r="B83" s="118"/>
      <c r="C83" s="118"/>
      <c r="D83" s="118"/>
      <c r="E83" s="118"/>
      <c r="F83" s="118"/>
      <c r="G83" s="118"/>
      <c r="H83" s="118"/>
      <c r="I83" s="118"/>
      <c r="J83" s="118"/>
      <c r="K83" s="118"/>
      <c r="L83" s="118"/>
      <c r="M83" s="118"/>
      <c r="N83" s="118"/>
      <c r="O83" s="118"/>
      <c r="P83" s="118"/>
      <c r="Q83" s="118"/>
      <c r="R83" s="118"/>
      <c r="S83" s="6"/>
    </row>
    <row r="84" spans="1:26" x14ac:dyDescent="0.25">
      <c r="A84" s="127"/>
      <c r="B84" s="118"/>
      <c r="C84" s="118"/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118"/>
      <c r="Q84" s="118"/>
      <c r="R84" s="118"/>
      <c r="S84" s="6"/>
    </row>
    <row r="85" spans="1:26" x14ac:dyDescent="0.25">
      <c r="A85" s="127"/>
      <c r="B85" s="118"/>
      <c r="C85" s="118"/>
      <c r="D85" s="118"/>
      <c r="E85" s="118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118"/>
      <c r="Q85" s="118"/>
      <c r="R85" s="118"/>
      <c r="S85" s="6"/>
    </row>
    <row r="86" spans="1:26" x14ac:dyDescent="0.25">
      <c r="A86" s="127"/>
      <c r="B86" s="118"/>
      <c r="C86" s="118"/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8"/>
      <c r="Q86" s="118"/>
      <c r="R86" s="118"/>
      <c r="S86" s="6"/>
      <c r="Z86" s="30"/>
    </row>
    <row r="87" spans="1:26" x14ac:dyDescent="0.25">
      <c r="A87" s="127"/>
      <c r="B87" s="118"/>
      <c r="C87" s="118"/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118"/>
      <c r="Q87" s="118"/>
      <c r="R87" s="118"/>
      <c r="S87" s="6"/>
    </row>
    <row r="88" spans="1:26" x14ac:dyDescent="0.25">
      <c r="A88" s="127"/>
      <c r="B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6"/>
    </row>
    <row r="89" spans="1:26" x14ac:dyDescent="0.25">
      <c r="A89" s="127"/>
      <c r="B89" s="11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18"/>
      <c r="O89" s="118"/>
      <c r="P89" s="118"/>
      <c r="Q89" s="118"/>
      <c r="R89" s="118"/>
      <c r="S89" s="6"/>
    </row>
    <row r="90" spans="1:26" x14ac:dyDescent="0.25">
      <c r="A90" s="127"/>
      <c r="B90" s="118"/>
      <c r="C90" s="118"/>
      <c r="D90" s="118"/>
      <c r="E90" s="118"/>
      <c r="F90" s="118"/>
      <c r="G90" s="118"/>
      <c r="H90" s="118"/>
      <c r="I90" s="118"/>
      <c r="J90" s="118"/>
      <c r="K90" s="118"/>
      <c r="L90" s="118"/>
      <c r="M90" s="118"/>
      <c r="N90" s="118"/>
      <c r="O90" s="118"/>
      <c r="P90" s="118"/>
      <c r="Q90" s="118"/>
      <c r="R90" s="118"/>
      <c r="S90" s="76"/>
    </row>
    <row r="91" spans="1:26" x14ac:dyDescent="0.25">
      <c r="A91" s="127"/>
      <c r="B91" s="118"/>
      <c r="C91" s="118"/>
      <c r="D91" s="118"/>
      <c r="E91" s="118"/>
      <c r="F91" s="118"/>
      <c r="G91" s="118"/>
      <c r="H91" s="118"/>
      <c r="I91" s="118"/>
      <c r="J91" s="118"/>
      <c r="K91" s="118"/>
      <c r="L91" s="118"/>
      <c r="M91" s="118"/>
      <c r="N91" s="118"/>
      <c r="O91" s="118"/>
      <c r="P91" s="118"/>
      <c r="Q91" s="118"/>
      <c r="R91" s="118"/>
      <c r="S91" s="77"/>
    </row>
    <row r="92" spans="1:26" ht="15" customHeight="1" x14ac:dyDescent="0.25">
      <c r="A92" s="127"/>
      <c r="B92" s="118"/>
      <c r="C92" s="118"/>
      <c r="D92" s="118"/>
      <c r="E92" s="118"/>
      <c r="F92" s="118"/>
      <c r="G92" s="118"/>
      <c r="H92" s="118"/>
      <c r="I92" s="118"/>
      <c r="J92" s="118"/>
      <c r="K92" s="118"/>
      <c r="L92" s="118"/>
      <c r="M92" s="118"/>
      <c r="N92" s="118"/>
      <c r="O92" s="118"/>
      <c r="P92" s="118"/>
      <c r="Q92" s="118"/>
      <c r="R92" s="118"/>
      <c r="S92" s="77"/>
    </row>
    <row r="93" spans="1:26" ht="15" customHeight="1" x14ac:dyDescent="0.25">
      <c r="A93" s="14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77"/>
    </row>
    <row r="94" spans="1:26" ht="15" customHeight="1" x14ac:dyDescent="0.25">
      <c r="A94" s="14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77"/>
    </row>
    <row r="95" spans="1:26" ht="15" customHeight="1" x14ac:dyDescent="0.25">
      <c r="A95" s="80"/>
      <c r="B95" s="54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77"/>
    </row>
    <row r="96" spans="1:26" ht="15" customHeight="1" x14ac:dyDescent="0.25">
      <c r="A96" s="80"/>
      <c r="B96" s="54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77"/>
    </row>
    <row r="97" spans="1:19" ht="15" customHeight="1" x14ac:dyDescent="0.25">
      <c r="A97" s="80"/>
      <c r="B97" s="125"/>
      <c r="C97" s="125"/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77"/>
    </row>
    <row r="98" spans="1:19" ht="15" customHeight="1" x14ac:dyDescent="0.25">
      <c r="A98" s="82"/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77"/>
    </row>
    <row r="99" spans="1:19" ht="15" customHeight="1" x14ac:dyDescent="0.25">
      <c r="A99" s="128"/>
      <c r="B99" s="125"/>
      <c r="C99" s="125"/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6"/>
    </row>
    <row r="100" spans="1:19" ht="15" customHeight="1" x14ac:dyDescent="0.25">
      <c r="A100" s="128"/>
      <c r="B100" s="125"/>
      <c r="C100" s="125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6"/>
    </row>
    <row r="101" spans="1:19" ht="15" customHeight="1" x14ac:dyDescent="0.25">
      <c r="A101" s="128"/>
      <c r="B101" s="125"/>
      <c r="C101" s="125"/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6"/>
    </row>
    <row r="102" spans="1:19" ht="15" customHeight="1" x14ac:dyDescent="0.25">
      <c r="A102" s="128"/>
      <c r="B102" s="125"/>
      <c r="C102" s="125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6"/>
    </row>
    <row r="103" spans="1:19" ht="15" customHeight="1" x14ac:dyDescent="0.25">
      <c r="A103" s="128"/>
      <c r="B103" s="125"/>
      <c r="C103" s="125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6"/>
    </row>
    <row r="104" spans="1:19" ht="15" customHeight="1" x14ac:dyDescent="0.25">
      <c r="A104" s="128"/>
      <c r="B104" s="125"/>
      <c r="C104" s="125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6"/>
    </row>
    <row r="105" spans="1:19" ht="15" customHeight="1" x14ac:dyDescent="0.25">
      <c r="A105" s="128"/>
      <c r="B105" s="125"/>
      <c r="C105" s="125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6"/>
    </row>
    <row r="106" spans="1:19" ht="15" customHeight="1" x14ac:dyDescent="0.25">
      <c r="A106" s="128"/>
      <c r="B106" s="125"/>
      <c r="C106" s="125"/>
      <c r="D106" s="125"/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6"/>
    </row>
    <row r="107" spans="1:19" ht="15" customHeight="1" x14ac:dyDescent="0.25">
      <c r="A107" s="128"/>
      <c r="B107" s="125"/>
      <c r="C107" s="125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6"/>
    </row>
    <row r="108" spans="1:19" ht="15" customHeight="1" x14ac:dyDescent="0.25">
      <c r="A108" s="128"/>
      <c r="B108" s="125"/>
      <c r="C108" s="125"/>
      <c r="D108" s="125"/>
      <c r="E108" s="125"/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6"/>
    </row>
    <row r="109" spans="1:19" ht="15" customHeight="1" x14ac:dyDescent="0.25">
      <c r="A109" s="128"/>
      <c r="B109" s="125"/>
      <c r="C109" s="125"/>
      <c r="D109" s="125"/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6"/>
    </row>
    <row r="110" spans="1:19" ht="15" customHeight="1" x14ac:dyDescent="0.25">
      <c r="A110" s="128"/>
      <c r="B110" s="125"/>
      <c r="C110" s="125"/>
      <c r="D110" s="125"/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6"/>
    </row>
    <row r="111" spans="1:19" ht="15" customHeight="1" x14ac:dyDescent="0.25">
      <c r="A111" s="128"/>
      <c r="B111" s="125"/>
      <c r="C111" s="125"/>
      <c r="D111" s="125"/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6"/>
    </row>
    <row r="112" spans="1:19" ht="15" customHeight="1" x14ac:dyDescent="0.25">
      <c r="A112" s="128"/>
      <c r="B112" s="125"/>
      <c r="C112" s="125"/>
      <c r="D112" s="125"/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6"/>
    </row>
    <row r="113" spans="1:19" ht="15" customHeight="1" x14ac:dyDescent="0.25">
      <c r="A113" s="128"/>
      <c r="B113" s="125"/>
      <c r="C113" s="125"/>
      <c r="D113" s="125"/>
      <c r="E113" s="125"/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6"/>
    </row>
    <row r="114" spans="1:19" ht="15" customHeight="1" x14ac:dyDescent="0.25">
      <c r="A114" s="128"/>
      <c r="B114" s="125"/>
      <c r="C114" s="125"/>
      <c r="D114" s="125"/>
      <c r="E114" s="125"/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6"/>
    </row>
    <row r="115" spans="1:19" ht="15" customHeight="1" x14ac:dyDescent="0.25">
      <c r="A115" s="128"/>
      <c r="B115" s="125"/>
      <c r="C115" s="125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6"/>
    </row>
    <row r="116" spans="1:19" ht="15" customHeight="1" x14ac:dyDescent="0.25">
      <c r="A116" s="128"/>
      <c r="B116" s="125"/>
      <c r="C116" s="125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6"/>
    </row>
    <row r="117" spans="1:19" ht="15" customHeight="1" x14ac:dyDescent="0.25">
      <c r="A117" s="128"/>
      <c r="B117" s="125"/>
      <c r="C117" s="125"/>
      <c r="D117" s="125"/>
      <c r="E117" s="125"/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6"/>
    </row>
    <row r="118" spans="1:19" ht="15" customHeight="1" x14ac:dyDescent="0.25">
      <c r="A118" s="128"/>
      <c r="B118" s="125"/>
      <c r="C118" s="125"/>
      <c r="D118" s="125"/>
      <c r="E118" s="125"/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6"/>
    </row>
    <row r="119" spans="1:19" ht="15" customHeight="1" x14ac:dyDescent="0.25">
      <c r="A119" s="128"/>
      <c r="B119" s="125"/>
      <c r="C119" s="125"/>
      <c r="D119" s="125"/>
      <c r="E119" s="125"/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6"/>
    </row>
    <row r="120" spans="1:19" ht="15" customHeight="1" x14ac:dyDescent="0.25">
      <c r="A120" s="128"/>
      <c r="B120" s="125"/>
      <c r="C120" s="125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6"/>
    </row>
    <row r="121" spans="1:19" ht="15" customHeight="1" x14ac:dyDescent="0.25">
      <c r="A121" s="128"/>
      <c r="B121" s="125"/>
      <c r="C121" s="125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6"/>
    </row>
    <row r="122" spans="1:19" ht="15" customHeight="1" x14ac:dyDescent="0.25">
      <c r="A122" s="128"/>
      <c r="B122" s="125"/>
      <c r="C122" s="125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6"/>
    </row>
    <row r="123" spans="1:19" ht="15" customHeight="1" x14ac:dyDescent="0.25">
      <c r="A123" s="128"/>
      <c r="B123" s="125"/>
      <c r="C123" s="125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6"/>
    </row>
    <row r="124" spans="1:19" ht="15" customHeight="1" x14ac:dyDescent="0.25">
      <c r="A124" s="128"/>
      <c r="B124" s="125"/>
      <c r="C124" s="125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6"/>
    </row>
    <row r="125" spans="1:19" ht="15" customHeight="1" x14ac:dyDescent="0.25">
      <c r="A125" s="128"/>
      <c r="B125" s="125"/>
      <c r="C125" s="125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6"/>
    </row>
    <row r="126" spans="1:19" ht="15" customHeight="1" x14ac:dyDescent="0.25">
      <c r="A126" s="128"/>
      <c r="B126" s="125"/>
      <c r="C126" s="125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6"/>
    </row>
    <row r="127" spans="1:19" ht="15" customHeight="1" x14ac:dyDescent="0.25">
      <c r="A127" s="128"/>
      <c r="B127" s="125"/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6"/>
    </row>
    <row r="128" spans="1:19" ht="15" customHeight="1" x14ac:dyDescent="0.25">
      <c r="A128" s="128"/>
      <c r="B128" s="125"/>
      <c r="C128" s="125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6"/>
    </row>
    <row r="129" spans="1:27" ht="15" customHeight="1" x14ac:dyDescent="0.25">
      <c r="A129" s="128"/>
      <c r="B129" s="125"/>
      <c r="C129" s="125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6"/>
    </row>
    <row r="130" spans="1:27" ht="15" customHeight="1" x14ac:dyDescent="0.25">
      <c r="A130" s="128"/>
      <c r="B130" s="125"/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6"/>
    </row>
    <row r="131" spans="1:27" ht="15" customHeight="1" x14ac:dyDescent="0.25">
      <c r="A131" s="128"/>
      <c r="B131" s="125"/>
      <c r="C131" s="125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6"/>
    </row>
    <row r="132" spans="1:27" ht="15" customHeight="1" x14ac:dyDescent="0.25">
      <c r="A132" s="5"/>
      <c r="B132" s="125"/>
      <c r="C132" s="125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6"/>
    </row>
    <row r="133" spans="1:27" ht="15" customHeight="1" x14ac:dyDescent="0.25">
      <c r="A133" s="5"/>
      <c r="B133" s="125"/>
      <c r="C133" s="125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6"/>
    </row>
    <row r="134" spans="1:27" ht="15" customHeight="1" x14ac:dyDescent="0.25">
      <c r="A134" s="5"/>
      <c r="B134" s="125"/>
      <c r="C134" s="125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6"/>
    </row>
    <row r="135" spans="1:27" ht="15" customHeight="1" x14ac:dyDescent="0.25">
      <c r="A135" s="5"/>
      <c r="B135" s="125"/>
      <c r="C135" s="125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6"/>
    </row>
    <row r="136" spans="1:27" x14ac:dyDescent="0.25">
      <c r="A136" s="15"/>
      <c r="S136" s="6"/>
    </row>
    <row r="137" spans="1:27" ht="15" customHeight="1" x14ac:dyDescent="0.25">
      <c r="A137" s="14"/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6"/>
    </row>
    <row r="138" spans="1:27" ht="15" customHeight="1" x14ac:dyDescent="0.25">
      <c r="A138" s="14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6"/>
    </row>
    <row r="139" spans="1:27" ht="15" customHeight="1" x14ac:dyDescent="0.25">
      <c r="A139" s="14"/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6"/>
    </row>
    <row r="140" spans="1:27" ht="15" customHeight="1" x14ac:dyDescent="0.25">
      <c r="A140" s="80"/>
      <c r="B140" s="54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76"/>
    </row>
    <row r="141" spans="1:27" ht="15" customHeight="1" x14ac:dyDescent="0.25">
      <c r="A141" s="80"/>
      <c r="B141" s="54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76"/>
    </row>
    <row r="142" spans="1:27" ht="15" customHeight="1" x14ac:dyDescent="0.25">
      <c r="A142" s="83"/>
      <c r="B142" s="59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78"/>
    </row>
    <row r="143" spans="1:27" x14ac:dyDescent="0.25">
      <c r="G143" s="30"/>
      <c r="AA143" s="2"/>
    </row>
    <row r="144" spans="1:27" ht="15" customHeight="1" x14ac:dyDescent="0.25">
      <c r="G144" s="30"/>
      <c r="AA144" s="2"/>
    </row>
    <row r="145" spans="7:27" x14ac:dyDescent="0.25">
      <c r="G145" s="30"/>
      <c r="AA145" s="2"/>
    </row>
    <row r="146" spans="7:27" x14ac:dyDescent="0.25">
      <c r="G146" s="30"/>
      <c r="AA146" s="2"/>
    </row>
    <row r="147" spans="7:27" x14ac:dyDescent="0.25">
      <c r="G147" s="30"/>
      <c r="AA147" s="2"/>
    </row>
    <row r="148" spans="7:27" x14ac:dyDescent="0.25">
      <c r="G148" s="30"/>
      <c r="AA148" s="2"/>
    </row>
    <row r="149" spans="7:27" x14ac:dyDescent="0.25">
      <c r="G149" s="30"/>
      <c r="AA149" s="2"/>
    </row>
    <row r="150" spans="7:27" x14ac:dyDescent="0.25">
      <c r="G150" s="30"/>
      <c r="AA150" s="2"/>
    </row>
    <row r="151" spans="7:27" x14ac:dyDescent="0.25">
      <c r="G151" s="30"/>
      <c r="AA151" s="2"/>
    </row>
    <row r="152" spans="7:27" x14ac:dyDescent="0.25">
      <c r="G152" s="30"/>
      <c r="AA152" s="2"/>
    </row>
    <row r="153" spans="7:27" x14ac:dyDescent="0.25">
      <c r="G153" s="30"/>
      <c r="AA153" s="2"/>
    </row>
    <row r="154" spans="7:27" x14ac:dyDescent="0.25">
      <c r="G154" s="30"/>
      <c r="AA154" s="2"/>
    </row>
    <row r="155" spans="7:27" x14ac:dyDescent="0.25">
      <c r="G155" s="30"/>
      <c r="AA155" s="2"/>
    </row>
    <row r="156" spans="7:27" x14ac:dyDescent="0.25">
      <c r="G156" s="30"/>
      <c r="AA156" s="2"/>
    </row>
    <row r="157" spans="7:27" x14ac:dyDescent="0.25">
      <c r="G157" s="30"/>
      <c r="AA157" s="2"/>
    </row>
    <row r="158" spans="7:27" x14ac:dyDescent="0.25">
      <c r="G158" s="30"/>
      <c r="AA158" s="2"/>
    </row>
    <row r="159" spans="7:27" x14ac:dyDescent="0.25">
      <c r="G159" s="30"/>
      <c r="AA159" s="2"/>
    </row>
    <row r="160" spans="7:27" x14ac:dyDescent="0.25">
      <c r="G160" s="30"/>
      <c r="AA160" s="2"/>
    </row>
    <row r="161" spans="7:27" x14ac:dyDescent="0.25">
      <c r="G161" s="30"/>
      <c r="AA161" s="2"/>
    </row>
    <row r="162" spans="7:27" x14ac:dyDescent="0.25">
      <c r="G162" s="30"/>
      <c r="AA162" s="2"/>
    </row>
    <row r="163" spans="7:27" x14ac:dyDescent="0.25">
      <c r="G163" s="30"/>
      <c r="AA163" s="2"/>
    </row>
    <row r="164" spans="7:27" x14ac:dyDescent="0.25">
      <c r="G164" s="30"/>
      <c r="AA164" s="2"/>
    </row>
    <row r="165" spans="7:27" x14ac:dyDescent="0.25">
      <c r="G165" s="30"/>
      <c r="AA165" s="2"/>
    </row>
    <row r="166" spans="7:27" x14ac:dyDescent="0.25">
      <c r="G166" s="30"/>
      <c r="AA166" s="2"/>
    </row>
    <row r="167" spans="7:27" x14ac:dyDescent="0.25">
      <c r="G167" s="30"/>
      <c r="AA167" s="2"/>
    </row>
    <row r="168" spans="7:27" x14ac:dyDescent="0.25">
      <c r="G168" s="30"/>
      <c r="AA168" s="2"/>
    </row>
    <row r="169" spans="7:27" x14ac:dyDescent="0.25">
      <c r="G169" s="30"/>
      <c r="AA169" s="2"/>
    </row>
    <row r="170" spans="7:27" x14ac:dyDescent="0.25">
      <c r="G170" s="30"/>
      <c r="AA170" s="2"/>
    </row>
    <row r="171" spans="7:27" x14ac:dyDescent="0.25">
      <c r="G171" s="30"/>
      <c r="AA171" s="2"/>
    </row>
    <row r="172" spans="7:27" x14ac:dyDescent="0.25">
      <c r="G172" s="30"/>
      <c r="AA172" s="2"/>
    </row>
    <row r="173" spans="7:27" x14ac:dyDescent="0.25">
      <c r="G173" s="30"/>
      <c r="AA173" s="2"/>
    </row>
    <row r="174" spans="7:27" x14ac:dyDescent="0.25">
      <c r="G174" s="30"/>
      <c r="AA174" s="2"/>
    </row>
    <row r="175" spans="7:27" x14ac:dyDescent="0.25">
      <c r="G175" s="30"/>
      <c r="AA175" s="2"/>
    </row>
    <row r="176" spans="7:27" x14ac:dyDescent="0.25">
      <c r="G176" s="30"/>
      <c r="AA176" s="2"/>
    </row>
    <row r="177" spans="7:27" x14ac:dyDescent="0.25">
      <c r="G177" s="30"/>
      <c r="AA177" s="2"/>
    </row>
    <row r="178" spans="7:27" x14ac:dyDescent="0.25">
      <c r="G178" s="30"/>
      <c r="AA178" s="2"/>
    </row>
    <row r="179" spans="7:27" x14ac:dyDescent="0.25">
      <c r="G179" s="30"/>
      <c r="AA179" s="2"/>
    </row>
    <row r="180" spans="7:27" x14ac:dyDescent="0.25">
      <c r="G180" s="30"/>
      <c r="AA180" s="2"/>
    </row>
    <row r="181" spans="7:27" x14ac:dyDescent="0.25">
      <c r="G181" s="30"/>
      <c r="AA181" s="2"/>
    </row>
    <row r="182" spans="7:27" ht="15" customHeight="1" x14ac:dyDescent="0.25">
      <c r="G182" s="30"/>
      <c r="AA182" s="2"/>
    </row>
    <row r="183" spans="7:27" ht="15" customHeight="1" x14ac:dyDescent="0.25">
      <c r="G183" s="30"/>
      <c r="AA183" s="2"/>
    </row>
    <row r="184" spans="7:27" ht="15" customHeight="1" x14ac:dyDescent="0.25">
      <c r="G184" s="30"/>
      <c r="AA184" s="2"/>
    </row>
    <row r="185" spans="7:27" ht="15" customHeight="1" x14ac:dyDescent="0.25">
      <c r="G185" s="30"/>
      <c r="AA185" s="2"/>
    </row>
    <row r="186" spans="7:27" ht="15" customHeight="1" x14ac:dyDescent="0.25">
      <c r="G186" s="30"/>
      <c r="AA186" s="2"/>
    </row>
    <row r="187" spans="7:27" ht="15" customHeight="1" x14ac:dyDescent="0.25">
      <c r="G187" s="30"/>
      <c r="AA187" s="2"/>
    </row>
    <row r="188" spans="7:27" x14ac:dyDescent="0.25">
      <c r="G188" s="30"/>
      <c r="AA188" s="2"/>
    </row>
    <row r="189" spans="7:27" ht="15" customHeight="1" x14ac:dyDescent="0.25">
      <c r="G189" s="30"/>
      <c r="AA189" s="2"/>
    </row>
    <row r="190" spans="7:27" x14ac:dyDescent="0.25">
      <c r="G190" s="30"/>
      <c r="AA190" s="2"/>
    </row>
    <row r="191" spans="7:27" x14ac:dyDescent="0.25">
      <c r="G191" s="30"/>
      <c r="AA191" s="2"/>
    </row>
    <row r="192" spans="7:27" x14ac:dyDescent="0.25">
      <c r="G192" s="30"/>
      <c r="AA192" s="2"/>
    </row>
    <row r="193" spans="7:27" x14ac:dyDescent="0.25">
      <c r="G193" s="30"/>
      <c r="AA193" s="2"/>
    </row>
    <row r="194" spans="7:27" x14ac:dyDescent="0.25">
      <c r="G194" s="30"/>
      <c r="AA194" s="2"/>
    </row>
    <row r="195" spans="7:27" x14ac:dyDescent="0.25">
      <c r="G195" s="30"/>
      <c r="AA195" s="2"/>
    </row>
    <row r="196" spans="7:27" x14ac:dyDescent="0.25">
      <c r="G196" s="30"/>
      <c r="AA196" s="2"/>
    </row>
    <row r="197" spans="7:27" x14ac:dyDescent="0.25">
      <c r="G197" s="30"/>
      <c r="AA197" s="2"/>
    </row>
    <row r="198" spans="7:27" x14ac:dyDescent="0.25">
      <c r="G198" s="30"/>
      <c r="AA198" s="2"/>
    </row>
    <row r="199" spans="7:27" x14ac:dyDescent="0.25">
      <c r="G199" s="30"/>
      <c r="AA199" s="2"/>
    </row>
    <row r="200" spans="7:27" x14ac:dyDescent="0.25">
      <c r="G200" s="30"/>
      <c r="AA200" s="2"/>
    </row>
    <row r="201" spans="7:27" x14ac:dyDescent="0.25">
      <c r="G201" s="30"/>
      <c r="AA201" s="2"/>
    </row>
    <row r="202" spans="7:27" x14ac:dyDescent="0.25">
      <c r="G202" s="30"/>
      <c r="AA202" s="2"/>
    </row>
    <row r="203" spans="7:27" x14ac:dyDescent="0.25">
      <c r="G203" s="30"/>
      <c r="AA203" s="2"/>
    </row>
    <row r="204" spans="7:27" x14ac:dyDescent="0.25">
      <c r="G204" s="30"/>
      <c r="AA204" s="2"/>
    </row>
    <row r="205" spans="7:27" x14ac:dyDescent="0.25">
      <c r="G205" s="30"/>
      <c r="AA205" s="2"/>
    </row>
    <row r="206" spans="7:27" x14ac:dyDescent="0.25">
      <c r="G206" s="30"/>
      <c r="AA206" s="2"/>
    </row>
    <row r="207" spans="7:27" x14ac:dyDescent="0.25">
      <c r="G207" s="30"/>
      <c r="AA207" s="2"/>
    </row>
    <row r="208" spans="7:27" x14ac:dyDescent="0.25">
      <c r="G208" s="30"/>
      <c r="AA208" s="2"/>
    </row>
    <row r="209" spans="7:27" x14ac:dyDescent="0.25">
      <c r="G209" s="30"/>
      <c r="AA209" s="2"/>
    </row>
    <row r="210" spans="7:27" x14ac:dyDescent="0.25">
      <c r="G210" s="30"/>
      <c r="AA210" s="2"/>
    </row>
    <row r="211" spans="7:27" x14ac:dyDescent="0.25">
      <c r="G211" s="30"/>
      <c r="AA211" s="2"/>
    </row>
    <row r="212" spans="7:27" x14ac:dyDescent="0.25">
      <c r="G212" s="30"/>
      <c r="AA212" s="2"/>
    </row>
    <row r="213" spans="7:27" x14ac:dyDescent="0.25">
      <c r="G213" s="30"/>
      <c r="AA213" s="2"/>
    </row>
    <row r="214" spans="7:27" x14ac:dyDescent="0.25">
      <c r="G214" s="30"/>
      <c r="AA214" s="2"/>
    </row>
    <row r="215" spans="7:27" x14ac:dyDescent="0.25">
      <c r="G215" s="30"/>
      <c r="AA215" s="2"/>
    </row>
    <row r="216" spans="7:27" x14ac:dyDescent="0.25">
      <c r="G216" s="30"/>
      <c r="AA216" s="2"/>
    </row>
    <row r="217" spans="7:27" x14ac:dyDescent="0.25">
      <c r="G217" s="30"/>
      <c r="AA217" s="2"/>
    </row>
    <row r="218" spans="7:27" x14ac:dyDescent="0.25">
      <c r="G218" s="30"/>
      <c r="AA218" s="2"/>
    </row>
    <row r="219" spans="7:27" x14ac:dyDescent="0.25">
      <c r="G219" s="30"/>
      <c r="AA219" s="2"/>
    </row>
    <row r="220" spans="7:27" x14ac:dyDescent="0.25">
      <c r="G220" s="30"/>
      <c r="AA220" s="2"/>
    </row>
    <row r="221" spans="7:27" x14ac:dyDescent="0.25">
      <c r="G221" s="30"/>
      <c r="AA221" s="2"/>
    </row>
    <row r="222" spans="7:27" x14ac:dyDescent="0.25">
      <c r="G222" s="30"/>
      <c r="AA222" s="2"/>
    </row>
    <row r="223" spans="7:27" x14ac:dyDescent="0.25">
      <c r="G223" s="30"/>
      <c r="AA223" s="2"/>
    </row>
    <row r="224" spans="7:27" x14ac:dyDescent="0.25">
      <c r="G224" s="30"/>
      <c r="AA224" s="2"/>
    </row>
    <row r="225" spans="7:27" x14ac:dyDescent="0.25">
      <c r="G225" s="30"/>
      <c r="AA225" s="2"/>
    </row>
    <row r="226" spans="7:27" x14ac:dyDescent="0.25">
      <c r="G226" s="30"/>
      <c r="AA226" s="2"/>
    </row>
    <row r="227" spans="7:27" ht="15" customHeight="1" x14ac:dyDescent="0.25">
      <c r="G227" s="30"/>
      <c r="AA227" s="2"/>
    </row>
    <row r="228" spans="7:27" ht="15" customHeight="1" x14ac:dyDescent="0.25">
      <c r="G228" s="30"/>
      <c r="AA228" s="2"/>
    </row>
    <row r="229" spans="7:27" ht="15" customHeight="1" x14ac:dyDescent="0.25">
      <c r="G229" s="30"/>
      <c r="AA229" s="2"/>
    </row>
    <row r="230" spans="7:27" ht="15" customHeight="1" x14ac:dyDescent="0.25">
      <c r="G230" s="30"/>
      <c r="AA230" s="2"/>
    </row>
    <row r="231" spans="7:27" ht="15" customHeight="1" x14ac:dyDescent="0.25">
      <c r="G231" s="30"/>
      <c r="AA231" s="2"/>
    </row>
    <row r="232" spans="7:27" ht="15" customHeight="1" x14ac:dyDescent="0.25">
      <c r="G232" s="30"/>
      <c r="AA232" s="2"/>
    </row>
    <row r="233" spans="7:27" x14ac:dyDescent="0.25">
      <c r="G233" s="30"/>
      <c r="AA233" s="2"/>
    </row>
    <row r="234" spans="7:27" ht="15" customHeight="1" x14ac:dyDescent="0.25">
      <c r="G234" s="30"/>
      <c r="AA234" s="2"/>
    </row>
    <row r="235" spans="7:27" x14ac:dyDescent="0.25">
      <c r="G235" s="30"/>
      <c r="AA235" s="2"/>
    </row>
    <row r="236" spans="7:27" x14ac:dyDescent="0.25">
      <c r="G236" s="30"/>
      <c r="AA236" s="2"/>
    </row>
    <row r="237" spans="7:27" x14ac:dyDescent="0.25">
      <c r="G237" s="30"/>
      <c r="AA237" s="2"/>
    </row>
    <row r="238" spans="7:27" x14ac:dyDescent="0.25">
      <c r="G238" s="30"/>
      <c r="AA238" s="2"/>
    </row>
    <row r="239" spans="7:27" x14ac:dyDescent="0.25">
      <c r="G239" s="30"/>
      <c r="AA239" s="2"/>
    </row>
    <row r="240" spans="7:27" x14ac:dyDescent="0.25">
      <c r="G240" s="30"/>
      <c r="AA240" s="2"/>
    </row>
    <row r="241" spans="7:27" x14ac:dyDescent="0.25">
      <c r="G241" s="30"/>
      <c r="AA241" s="2"/>
    </row>
    <row r="242" spans="7:27" x14ac:dyDescent="0.25">
      <c r="G242" s="30"/>
      <c r="AA242" s="2"/>
    </row>
    <row r="243" spans="7:27" x14ac:dyDescent="0.25">
      <c r="G243" s="30"/>
      <c r="AA243" s="2"/>
    </row>
    <row r="244" spans="7:27" x14ac:dyDescent="0.25">
      <c r="G244" s="30"/>
      <c r="AA244" s="2"/>
    </row>
    <row r="245" spans="7:27" x14ac:dyDescent="0.25">
      <c r="G245" s="30"/>
      <c r="AA245" s="2"/>
    </row>
    <row r="246" spans="7:27" x14ac:dyDescent="0.25">
      <c r="G246" s="30"/>
      <c r="AA246" s="2"/>
    </row>
    <row r="247" spans="7:27" x14ac:dyDescent="0.25">
      <c r="G247" s="30"/>
      <c r="AA247" s="2"/>
    </row>
    <row r="248" spans="7:27" x14ac:dyDescent="0.25">
      <c r="G248" s="30"/>
      <c r="AA248" s="2"/>
    </row>
    <row r="249" spans="7:27" x14ac:dyDescent="0.25">
      <c r="G249" s="30"/>
      <c r="AA249" s="2"/>
    </row>
    <row r="250" spans="7:27" x14ac:dyDescent="0.25">
      <c r="G250" s="30"/>
      <c r="AA250" s="2"/>
    </row>
    <row r="251" spans="7:27" x14ac:dyDescent="0.25">
      <c r="G251" s="30"/>
      <c r="AA251" s="2"/>
    </row>
    <row r="252" spans="7:27" x14ac:dyDescent="0.25">
      <c r="G252" s="30"/>
      <c r="AA252" s="2"/>
    </row>
    <row r="253" spans="7:27" x14ac:dyDescent="0.25">
      <c r="G253" s="30"/>
      <c r="AA253" s="2"/>
    </row>
    <row r="254" spans="7:27" x14ac:dyDescent="0.25">
      <c r="G254" s="30"/>
      <c r="AA254" s="2"/>
    </row>
    <row r="255" spans="7:27" x14ac:dyDescent="0.25">
      <c r="G255" s="30"/>
      <c r="AA255" s="2"/>
    </row>
    <row r="256" spans="7:27" x14ac:dyDescent="0.25">
      <c r="G256" s="30"/>
      <c r="AA256" s="2"/>
    </row>
    <row r="257" spans="7:27" x14ac:dyDescent="0.25">
      <c r="G257" s="30"/>
      <c r="AA257" s="2"/>
    </row>
    <row r="258" spans="7:27" x14ac:dyDescent="0.25">
      <c r="G258" s="30"/>
      <c r="AA258" s="2"/>
    </row>
    <row r="259" spans="7:27" x14ac:dyDescent="0.25">
      <c r="G259" s="30"/>
      <c r="AA259" s="2"/>
    </row>
    <row r="260" spans="7:27" x14ac:dyDescent="0.25">
      <c r="G260" s="30"/>
      <c r="AA260" s="2"/>
    </row>
    <row r="261" spans="7:27" x14ac:dyDescent="0.25">
      <c r="G261" s="30"/>
      <c r="AA261" s="2"/>
    </row>
    <row r="262" spans="7:27" x14ac:dyDescent="0.25">
      <c r="G262" s="30"/>
      <c r="AA262" s="2"/>
    </row>
    <row r="263" spans="7:27" x14ac:dyDescent="0.25">
      <c r="G263" s="30"/>
      <c r="AA263" s="2"/>
    </row>
    <row r="264" spans="7:27" x14ac:dyDescent="0.25">
      <c r="G264" s="30"/>
      <c r="AA264" s="2"/>
    </row>
    <row r="265" spans="7:27" x14ac:dyDescent="0.25">
      <c r="G265" s="30"/>
      <c r="AA265" s="2"/>
    </row>
    <row r="266" spans="7:27" x14ac:dyDescent="0.25">
      <c r="G266" s="30"/>
      <c r="AA266" s="2"/>
    </row>
    <row r="267" spans="7:27" x14ac:dyDescent="0.25">
      <c r="G267" s="30"/>
      <c r="AA267" s="2"/>
    </row>
    <row r="268" spans="7:27" x14ac:dyDescent="0.25">
      <c r="G268" s="30"/>
      <c r="AA268" s="2"/>
    </row>
    <row r="269" spans="7:27" x14ac:dyDescent="0.25">
      <c r="G269" s="30"/>
      <c r="AA269" s="2"/>
    </row>
    <row r="270" spans="7:27" x14ac:dyDescent="0.25">
      <c r="G270" s="30"/>
      <c r="AA270" s="2"/>
    </row>
    <row r="271" spans="7:27" x14ac:dyDescent="0.25">
      <c r="G271" s="30"/>
      <c r="AA271" s="2"/>
    </row>
    <row r="272" spans="7:27" x14ac:dyDescent="0.25">
      <c r="G272" s="30"/>
      <c r="AA272" s="2"/>
    </row>
    <row r="273" spans="7:27" x14ac:dyDescent="0.25">
      <c r="G273" s="30"/>
      <c r="AA273" s="2"/>
    </row>
  </sheetData>
  <mergeCells count="12">
    <mergeCell ref="E8:E9"/>
    <mergeCell ref="F8:O9"/>
    <mergeCell ref="E1:O3"/>
    <mergeCell ref="E4:E5"/>
    <mergeCell ref="F4:O5"/>
    <mergeCell ref="E6:E7"/>
    <mergeCell ref="F6:O7"/>
    <mergeCell ref="B54:R92"/>
    <mergeCell ref="A54:A92"/>
    <mergeCell ref="A99:A131"/>
    <mergeCell ref="B97:R135"/>
    <mergeCell ref="B11:R49"/>
  </mergeCells>
  <pageMargins left="0.19685039370078741" right="0.19685039370078741" top="0.19685039370078741" bottom="0.19685039370078741" header="0" footer="0.35433070866141736"/>
  <pageSetup paperSize="9" scale="39" fitToHeight="3" orientation="portrait" horizontalDpi="1200" verticalDpi="1200" r:id="rId1"/>
  <headerFooter alignWithMargins="0">
    <oddFooter xml:space="preserve">&amp;C&amp;18Tooshop | M. Santos | &amp;D&amp;R&amp;18Página &amp;P de &amp;N         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270"/>
  <sheetViews>
    <sheetView view="pageBreakPreview" zoomScale="70" zoomScaleNormal="100" zoomScaleSheetLayoutView="70" workbookViewId="0">
      <selection activeCell="T14" sqref="T14"/>
    </sheetView>
  </sheetViews>
  <sheetFormatPr defaultRowHeight="15" x14ac:dyDescent="0.25"/>
  <cols>
    <col min="1" max="1" width="4.7109375" style="2" customWidth="1"/>
    <col min="2" max="13" width="9.140625" style="2"/>
    <col min="14" max="14" width="9.140625" style="2" customWidth="1"/>
    <col min="15" max="16" width="9.140625" style="2"/>
    <col min="17" max="17" width="9" style="2" customWidth="1"/>
    <col min="18" max="18" width="9.140625" style="2"/>
    <col min="19" max="19" width="4.5703125" style="2" customWidth="1"/>
    <col min="20" max="20" width="31.7109375" style="2" bestFit="1" customWidth="1"/>
    <col min="21" max="21" width="9.140625" style="2"/>
    <col min="22" max="22" width="3.28515625" style="2" customWidth="1"/>
    <col min="23" max="23" width="25.140625" style="2" bestFit="1" customWidth="1"/>
    <col min="24" max="25" width="9.140625" style="2"/>
    <col min="26" max="26" width="39" style="2" bestFit="1" customWidth="1"/>
    <col min="27" max="27" width="9.140625" style="30"/>
    <col min="28" max="28" width="9.140625" style="2"/>
    <col min="29" max="29" width="25.140625" style="2" bestFit="1" customWidth="1"/>
    <col min="30" max="16384" width="9.140625" style="2"/>
  </cols>
  <sheetData>
    <row r="1" spans="1:27" x14ac:dyDescent="0.25">
      <c r="A1" s="1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4"/>
      <c r="T1" s="10"/>
      <c r="Z1" s="18" t="s">
        <v>4</v>
      </c>
      <c r="AA1" s="26"/>
    </row>
    <row r="2" spans="1:27" ht="15" customHeight="1" x14ac:dyDescent="0.25">
      <c r="A2" s="14"/>
      <c r="B2" s="126" t="s">
        <v>3</v>
      </c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6"/>
      <c r="Z2" s="19" t="s">
        <v>9</v>
      </c>
      <c r="AA2" s="27">
        <v>0</v>
      </c>
    </row>
    <row r="3" spans="1:27" ht="15" customHeight="1" x14ac:dyDescent="0.25">
      <c r="A3" s="14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6"/>
      <c r="Z3" s="19" t="s">
        <v>10</v>
      </c>
      <c r="AA3" s="28">
        <v>2</v>
      </c>
    </row>
    <row r="4" spans="1:27" ht="15" customHeight="1" x14ac:dyDescent="0.25">
      <c r="A4" s="14"/>
      <c r="B4" s="126"/>
      <c r="C4" s="126"/>
      <c r="D4" s="126"/>
      <c r="E4" s="126"/>
      <c r="F4" s="126"/>
      <c r="G4" s="126"/>
      <c r="H4" s="126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6"/>
      <c r="Z4" s="19" t="s">
        <v>11</v>
      </c>
      <c r="AA4" s="28">
        <v>0</v>
      </c>
    </row>
    <row r="5" spans="1:27" ht="15" customHeight="1" x14ac:dyDescent="0.25">
      <c r="A5" s="138"/>
      <c r="B5" s="121">
        <v>1</v>
      </c>
      <c r="C5" s="139" t="str">
        <f>T6 &amp;" - TOTAL RELATÓRIOS DE CONCLUSÃO"</f>
        <v>MQB_A1 - 5Q0.803.107 - TOTAL RELATÓRIOS DE CONCLUSÃO</v>
      </c>
      <c r="D5" s="139"/>
      <c r="E5" s="139"/>
      <c r="F5" s="139"/>
      <c r="G5" s="139"/>
      <c r="H5" s="139"/>
      <c r="I5" s="139"/>
      <c r="J5" s="139"/>
      <c r="K5" s="139"/>
      <c r="L5" s="139"/>
      <c r="M5" s="139"/>
      <c r="N5" s="139"/>
      <c r="O5" s="139"/>
      <c r="P5" s="139"/>
      <c r="Q5" s="139"/>
      <c r="R5" s="139"/>
      <c r="S5" s="6"/>
      <c r="Z5" s="19" t="s">
        <v>12</v>
      </c>
      <c r="AA5" s="28">
        <v>0</v>
      </c>
    </row>
    <row r="6" spans="1:27" ht="15" customHeight="1" x14ac:dyDescent="0.25">
      <c r="A6" s="138"/>
      <c r="B6" s="121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6"/>
      <c r="T6" s="17" t="s">
        <v>145</v>
      </c>
      <c r="Z6" s="19" t="s">
        <v>50</v>
      </c>
      <c r="AA6" s="28">
        <v>0</v>
      </c>
    </row>
    <row r="7" spans="1:27" ht="15" customHeight="1" x14ac:dyDescent="0.25">
      <c r="A7" s="138"/>
      <c r="B7" s="121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6"/>
      <c r="T7" s="10"/>
      <c r="Z7" s="19" t="s">
        <v>2</v>
      </c>
      <c r="AA7" s="28">
        <f>SUM(AA2:AA6)</f>
        <v>2</v>
      </c>
    </row>
    <row r="8" spans="1:27" x14ac:dyDescent="0.25">
      <c r="A8" s="15"/>
      <c r="S8" s="6"/>
      <c r="Z8" s="20" t="s">
        <v>5</v>
      </c>
      <c r="AA8" s="28"/>
    </row>
    <row r="9" spans="1:27" ht="15" customHeight="1" x14ac:dyDescent="0.25">
      <c r="A9" s="128" t="s">
        <v>146</v>
      </c>
      <c r="B9" s="118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6"/>
      <c r="Z9" s="19" t="s">
        <v>8</v>
      </c>
      <c r="AA9" s="28">
        <v>0</v>
      </c>
    </row>
    <row r="10" spans="1:27" x14ac:dyDescent="0.25">
      <c r="A10" s="128"/>
      <c r="B10" s="118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6"/>
      <c r="Z10" s="19" t="s">
        <v>7</v>
      </c>
      <c r="AA10" s="28">
        <v>0</v>
      </c>
    </row>
    <row r="11" spans="1:27" x14ac:dyDescent="0.25">
      <c r="A11" s="128"/>
      <c r="B11" s="118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6"/>
      <c r="Z11" s="25" t="s">
        <v>41</v>
      </c>
      <c r="AA11" s="28">
        <v>0</v>
      </c>
    </row>
    <row r="12" spans="1:27" x14ac:dyDescent="0.25">
      <c r="A12" s="128"/>
      <c r="B12" s="118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6"/>
      <c r="Z12" s="19" t="s">
        <v>40</v>
      </c>
      <c r="AA12" s="28">
        <v>0</v>
      </c>
    </row>
    <row r="13" spans="1:27" x14ac:dyDescent="0.25">
      <c r="A13" s="128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6"/>
      <c r="T13" s="12"/>
      <c r="Z13" s="19" t="s">
        <v>1</v>
      </c>
      <c r="AA13" s="28">
        <v>0</v>
      </c>
    </row>
    <row r="14" spans="1:27" x14ac:dyDescent="0.25">
      <c r="A14" s="128"/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6"/>
      <c r="T14" s="11"/>
      <c r="Z14" s="21" t="s">
        <v>20</v>
      </c>
      <c r="AA14" s="28"/>
    </row>
    <row r="15" spans="1:27" x14ac:dyDescent="0.25">
      <c r="A15" s="128"/>
      <c r="B15" s="118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6"/>
      <c r="Z15" s="22" t="s">
        <v>19</v>
      </c>
      <c r="AA15" s="29">
        <v>0</v>
      </c>
    </row>
    <row r="16" spans="1:27" x14ac:dyDescent="0.25">
      <c r="A16" s="128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6"/>
      <c r="Z16" s="22" t="s">
        <v>32</v>
      </c>
      <c r="AA16" s="29">
        <v>0</v>
      </c>
    </row>
    <row r="17" spans="1:27" x14ac:dyDescent="0.25">
      <c r="A17" s="128"/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6"/>
      <c r="Z17" s="22" t="s">
        <v>21</v>
      </c>
      <c r="AA17" s="29">
        <v>0</v>
      </c>
    </row>
    <row r="18" spans="1:27" x14ac:dyDescent="0.25">
      <c r="A18" s="128"/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6"/>
      <c r="Z18" s="22" t="s">
        <v>22</v>
      </c>
      <c r="AA18" s="29">
        <v>0</v>
      </c>
    </row>
    <row r="19" spans="1:27" x14ac:dyDescent="0.25">
      <c r="A19" s="128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6"/>
      <c r="Z19" s="22" t="s">
        <v>13</v>
      </c>
      <c r="AA19" s="29">
        <v>0</v>
      </c>
    </row>
    <row r="20" spans="1:27" x14ac:dyDescent="0.25">
      <c r="A20" s="128"/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6"/>
      <c r="Z20" s="21" t="s">
        <v>23</v>
      </c>
      <c r="AA20" s="29"/>
    </row>
    <row r="21" spans="1:27" x14ac:dyDescent="0.25">
      <c r="A21" s="128"/>
      <c r="B21" s="118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6"/>
      <c r="Z21" s="22" t="s">
        <v>24</v>
      </c>
      <c r="AA21" s="28">
        <v>0</v>
      </c>
    </row>
    <row r="22" spans="1:27" x14ac:dyDescent="0.25">
      <c r="A22" s="128"/>
      <c r="B22" s="118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6"/>
      <c r="Z22" s="22" t="s">
        <v>25</v>
      </c>
      <c r="AA22" s="28">
        <v>0</v>
      </c>
    </row>
    <row r="23" spans="1:27" x14ac:dyDescent="0.25">
      <c r="A23" s="128"/>
      <c r="B23" s="118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6"/>
      <c r="Z23" s="22" t="s">
        <v>15</v>
      </c>
      <c r="AA23" s="28">
        <v>0</v>
      </c>
    </row>
    <row r="24" spans="1:27" x14ac:dyDescent="0.25">
      <c r="A24" s="128"/>
      <c r="B24" s="11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6"/>
      <c r="Z24" s="23" t="s">
        <v>14</v>
      </c>
      <c r="AA24" s="27">
        <v>0</v>
      </c>
    </row>
    <row r="25" spans="1:27" x14ac:dyDescent="0.25">
      <c r="A25" s="128"/>
      <c r="B25" s="118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6"/>
      <c r="Z25" s="23" t="s">
        <v>16</v>
      </c>
      <c r="AA25" s="28">
        <v>0</v>
      </c>
    </row>
    <row r="26" spans="1:27" x14ac:dyDescent="0.25">
      <c r="A26" s="128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6"/>
      <c r="Z26" s="23" t="s">
        <v>26</v>
      </c>
      <c r="AA26" s="28">
        <v>0</v>
      </c>
    </row>
    <row r="27" spans="1:27" x14ac:dyDescent="0.25">
      <c r="A27" s="128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6"/>
      <c r="Z27" s="23" t="s">
        <v>13</v>
      </c>
      <c r="AA27" s="28">
        <v>0</v>
      </c>
    </row>
    <row r="28" spans="1:27" x14ac:dyDescent="0.25">
      <c r="A28" s="128"/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6"/>
      <c r="Z28" s="20" t="s">
        <v>34</v>
      </c>
      <c r="AA28" s="28"/>
    </row>
    <row r="29" spans="1:27" x14ac:dyDescent="0.25">
      <c r="A29" s="128"/>
      <c r="B29" s="118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6"/>
      <c r="Z29" s="23" t="s">
        <v>35</v>
      </c>
      <c r="AA29" s="28">
        <v>0</v>
      </c>
    </row>
    <row r="30" spans="1:27" x14ac:dyDescent="0.25">
      <c r="A30" s="128"/>
      <c r="B30" s="118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6"/>
      <c r="Z30" s="23" t="s">
        <v>27</v>
      </c>
      <c r="AA30" s="28">
        <v>0</v>
      </c>
    </row>
    <row r="31" spans="1:27" x14ac:dyDescent="0.25">
      <c r="A31" s="128"/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6"/>
      <c r="Z31" s="23" t="s">
        <v>36</v>
      </c>
      <c r="AA31" s="28">
        <v>0</v>
      </c>
    </row>
    <row r="32" spans="1:27" x14ac:dyDescent="0.25">
      <c r="A32" s="128"/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6"/>
      <c r="Z32" s="23" t="s">
        <v>28</v>
      </c>
      <c r="AA32" s="28">
        <v>0</v>
      </c>
    </row>
    <row r="33" spans="1:27" x14ac:dyDescent="0.25">
      <c r="A33" s="128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6"/>
      <c r="Z33" s="23" t="s">
        <v>13</v>
      </c>
      <c r="AA33" s="28">
        <v>0</v>
      </c>
    </row>
    <row r="34" spans="1:27" x14ac:dyDescent="0.25">
      <c r="A34" s="128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6"/>
      <c r="Z34" s="20" t="s">
        <v>39</v>
      </c>
      <c r="AA34" s="28"/>
    </row>
    <row r="35" spans="1:27" x14ac:dyDescent="0.25">
      <c r="A35" s="128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6"/>
      <c r="Z35" s="23" t="s">
        <v>29</v>
      </c>
      <c r="AA35" s="28">
        <v>0</v>
      </c>
    </row>
    <row r="36" spans="1:27" x14ac:dyDescent="0.25">
      <c r="A36" s="128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6"/>
      <c r="Z36" s="23" t="s">
        <v>37</v>
      </c>
      <c r="AA36" s="28">
        <v>0</v>
      </c>
    </row>
    <row r="37" spans="1:27" x14ac:dyDescent="0.25">
      <c r="A37" s="128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6"/>
      <c r="Z37" s="23" t="s">
        <v>38</v>
      </c>
      <c r="AA37" s="28">
        <v>0</v>
      </c>
    </row>
    <row r="38" spans="1:27" x14ac:dyDescent="0.25">
      <c r="A38" s="128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6"/>
      <c r="Z38" s="23" t="s">
        <v>30</v>
      </c>
      <c r="AA38" s="28">
        <v>0</v>
      </c>
    </row>
    <row r="39" spans="1:27" ht="15.75" thickBot="1" x14ac:dyDescent="0.3">
      <c r="A39" s="128"/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6"/>
      <c r="Z39" s="24" t="s">
        <v>13</v>
      </c>
      <c r="AA39" s="31">
        <v>0</v>
      </c>
    </row>
    <row r="40" spans="1:27" x14ac:dyDescent="0.25">
      <c r="A40" s="128"/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6"/>
    </row>
    <row r="41" spans="1:27" x14ac:dyDescent="0.25">
      <c r="A41" s="128"/>
      <c r="B41" s="118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6"/>
    </row>
    <row r="42" spans="1:27" x14ac:dyDescent="0.25">
      <c r="A42" s="5"/>
      <c r="S42" s="6"/>
    </row>
    <row r="43" spans="1:27" x14ac:dyDescent="0.25">
      <c r="A43" s="5"/>
      <c r="S43" s="6"/>
    </row>
    <row r="44" spans="1:27" x14ac:dyDescent="0.25">
      <c r="A44" s="5"/>
      <c r="S44" s="6"/>
    </row>
    <row r="45" spans="1:27" x14ac:dyDescent="0.25">
      <c r="A45" s="7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9"/>
    </row>
    <row r="46" spans="1:27" x14ac:dyDescent="0.25">
      <c r="A46" s="1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4"/>
    </row>
    <row r="47" spans="1:27" ht="15" customHeight="1" x14ac:dyDescent="0.25">
      <c r="A47" s="14"/>
      <c r="B47" s="126" t="s">
        <v>3</v>
      </c>
      <c r="C47" s="126"/>
      <c r="D47" s="126"/>
      <c r="E47" s="126"/>
      <c r="F47" s="126"/>
      <c r="G47" s="126"/>
      <c r="H47" s="126"/>
      <c r="I47" s="126"/>
      <c r="J47" s="126"/>
      <c r="K47" s="126"/>
      <c r="L47" s="126"/>
      <c r="M47" s="126"/>
      <c r="N47" s="126"/>
      <c r="O47" s="126"/>
      <c r="P47" s="126"/>
      <c r="Q47" s="126"/>
      <c r="R47" s="126"/>
      <c r="S47" s="6"/>
    </row>
    <row r="48" spans="1:27" ht="15" customHeight="1" x14ac:dyDescent="0.25">
      <c r="A48" s="14"/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6"/>
    </row>
    <row r="49" spans="1:19" ht="15" customHeight="1" x14ac:dyDescent="0.25">
      <c r="A49" s="14"/>
      <c r="B49" s="126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6"/>
    </row>
    <row r="50" spans="1:19" ht="15" customHeight="1" x14ac:dyDescent="0.25">
      <c r="A50" s="138"/>
      <c r="B50" s="121">
        <v>2</v>
      </c>
      <c r="C50" s="139" t="str">
        <f>T6 &amp; " - NÃO CONFORMIDADES"</f>
        <v>MQB_A1 - 5Q0.803.107 - NÃO CONFORMIDADES</v>
      </c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6"/>
    </row>
    <row r="51" spans="1:19" ht="15" customHeight="1" x14ac:dyDescent="0.25">
      <c r="A51" s="138"/>
      <c r="B51" s="121"/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  <c r="R51" s="139"/>
      <c r="S51" s="6"/>
    </row>
    <row r="52" spans="1:19" ht="15" customHeight="1" x14ac:dyDescent="0.25">
      <c r="A52" s="138"/>
      <c r="B52" s="121"/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6"/>
    </row>
    <row r="53" spans="1:19" x14ac:dyDescent="0.25">
      <c r="A53" s="15"/>
      <c r="S53" s="6"/>
    </row>
    <row r="54" spans="1:19" ht="15" customHeight="1" x14ac:dyDescent="0.25">
      <c r="A54" s="128" t="s">
        <v>146</v>
      </c>
      <c r="B54" s="118"/>
      <c r="C54" s="118"/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6"/>
    </row>
    <row r="55" spans="1:19" x14ac:dyDescent="0.25">
      <c r="A55" s="128"/>
      <c r="B55" s="118"/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6"/>
    </row>
    <row r="56" spans="1:19" x14ac:dyDescent="0.25">
      <c r="A56" s="128"/>
      <c r="B56" s="118"/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6"/>
    </row>
    <row r="57" spans="1:19" x14ac:dyDescent="0.25">
      <c r="A57" s="128"/>
      <c r="B57" s="118"/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6"/>
    </row>
    <row r="58" spans="1:19" x14ac:dyDescent="0.25">
      <c r="A58" s="128"/>
      <c r="B58" s="118"/>
      <c r="C58" s="118"/>
      <c r="D58" s="118"/>
      <c r="E58" s="118"/>
      <c r="F58" s="118"/>
      <c r="G58" s="118"/>
      <c r="H58" s="118"/>
      <c r="I58" s="118"/>
      <c r="J58" s="118"/>
      <c r="K58" s="118"/>
      <c r="L58" s="118"/>
      <c r="M58" s="118"/>
      <c r="N58" s="118"/>
      <c r="O58" s="118"/>
      <c r="P58" s="118"/>
      <c r="Q58" s="118"/>
      <c r="R58" s="118"/>
      <c r="S58" s="6"/>
    </row>
    <row r="59" spans="1:19" x14ac:dyDescent="0.25">
      <c r="A59" s="128"/>
      <c r="B59" s="118"/>
      <c r="C59" s="118"/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6"/>
    </row>
    <row r="60" spans="1:19" x14ac:dyDescent="0.25">
      <c r="A60" s="128"/>
      <c r="B60" s="118"/>
      <c r="C60" s="118"/>
      <c r="D60" s="118"/>
      <c r="E60" s="118"/>
      <c r="F60" s="118"/>
      <c r="G60" s="118"/>
      <c r="H60" s="118"/>
      <c r="I60" s="118"/>
      <c r="J60" s="118"/>
      <c r="K60" s="118"/>
      <c r="L60" s="118"/>
      <c r="M60" s="118"/>
      <c r="N60" s="118"/>
      <c r="O60" s="118"/>
      <c r="P60" s="118"/>
      <c r="Q60" s="118"/>
      <c r="R60" s="118"/>
      <c r="S60" s="6"/>
    </row>
    <row r="61" spans="1:19" x14ac:dyDescent="0.25">
      <c r="A61" s="128"/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6"/>
    </row>
    <row r="62" spans="1:19" x14ac:dyDescent="0.25">
      <c r="A62" s="128"/>
      <c r="B62" s="118"/>
      <c r="C62" s="118"/>
      <c r="D62" s="118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6"/>
    </row>
    <row r="63" spans="1:19" x14ac:dyDescent="0.25">
      <c r="A63" s="128"/>
      <c r="B63" s="118"/>
      <c r="C63" s="118"/>
      <c r="D63" s="118"/>
      <c r="E63" s="118"/>
      <c r="F63" s="118"/>
      <c r="G63" s="118"/>
      <c r="H63" s="118"/>
      <c r="I63" s="118"/>
      <c r="J63" s="118"/>
      <c r="K63" s="118"/>
      <c r="L63" s="118"/>
      <c r="M63" s="118"/>
      <c r="N63" s="118"/>
      <c r="O63" s="118"/>
      <c r="P63" s="118"/>
      <c r="Q63" s="118"/>
      <c r="R63" s="118"/>
      <c r="S63" s="6"/>
    </row>
    <row r="64" spans="1:19" x14ac:dyDescent="0.25">
      <c r="A64" s="128"/>
      <c r="B64" s="118"/>
      <c r="C64" s="118"/>
      <c r="D64" s="118"/>
      <c r="E64" s="118"/>
      <c r="F64" s="118"/>
      <c r="G64" s="118"/>
      <c r="H64" s="118"/>
      <c r="I64" s="118"/>
      <c r="J64" s="118"/>
      <c r="K64" s="118"/>
      <c r="L64" s="118"/>
      <c r="M64" s="118"/>
      <c r="N64" s="118"/>
      <c r="O64" s="118"/>
      <c r="P64" s="118"/>
      <c r="Q64" s="118"/>
      <c r="R64" s="118"/>
      <c r="S64" s="6"/>
    </row>
    <row r="65" spans="1:19" x14ac:dyDescent="0.25">
      <c r="A65" s="128"/>
      <c r="B65" s="118"/>
      <c r="C65" s="118"/>
      <c r="D65" s="118"/>
      <c r="E65" s="118"/>
      <c r="F65" s="118"/>
      <c r="G65" s="118"/>
      <c r="H65" s="118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6"/>
    </row>
    <row r="66" spans="1:19" x14ac:dyDescent="0.25">
      <c r="A66" s="128"/>
      <c r="B66" s="118"/>
      <c r="C66" s="118"/>
      <c r="D66" s="118"/>
      <c r="E66" s="118"/>
      <c r="F66" s="118"/>
      <c r="G66" s="118"/>
      <c r="H66" s="118"/>
      <c r="I66" s="118"/>
      <c r="J66" s="118"/>
      <c r="K66" s="118"/>
      <c r="L66" s="118"/>
      <c r="M66" s="118"/>
      <c r="N66" s="118"/>
      <c r="O66" s="118"/>
      <c r="P66" s="118"/>
      <c r="Q66" s="118"/>
      <c r="R66" s="118"/>
      <c r="S66" s="6"/>
    </row>
    <row r="67" spans="1:19" x14ac:dyDescent="0.25">
      <c r="A67" s="128"/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6"/>
    </row>
    <row r="68" spans="1:19" x14ac:dyDescent="0.25">
      <c r="A68" s="128"/>
      <c r="B68" s="118"/>
      <c r="C68" s="118"/>
      <c r="D68" s="118"/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118"/>
      <c r="Q68" s="118"/>
      <c r="R68" s="118"/>
      <c r="S68" s="6"/>
    </row>
    <row r="69" spans="1:19" x14ac:dyDescent="0.25">
      <c r="A69" s="128"/>
      <c r="B69" s="118"/>
      <c r="C69" s="118"/>
      <c r="D69" s="118"/>
      <c r="E69" s="118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118"/>
      <c r="Q69" s="118"/>
      <c r="R69" s="118"/>
      <c r="S69" s="6"/>
    </row>
    <row r="70" spans="1:19" x14ac:dyDescent="0.25">
      <c r="A70" s="128"/>
      <c r="B70" s="118"/>
      <c r="C70" s="118"/>
      <c r="D70" s="118"/>
      <c r="E70" s="118"/>
      <c r="F70" s="118"/>
      <c r="G70" s="118"/>
      <c r="H70" s="118"/>
      <c r="I70" s="118"/>
      <c r="J70" s="118"/>
      <c r="K70" s="118"/>
      <c r="L70" s="118"/>
      <c r="M70" s="118"/>
      <c r="N70" s="118"/>
      <c r="O70" s="118"/>
      <c r="P70" s="118"/>
      <c r="Q70" s="118"/>
      <c r="R70" s="118"/>
      <c r="S70" s="6"/>
    </row>
    <row r="71" spans="1:19" x14ac:dyDescent="0.25">
      <c r="A71" s="128"/>
      <c r="B71" s="118"/>
      <c r="C71" s="118"/>
      <c r="D71" s="118"/>
      <c r="E71" s="118"/>
      <c r="F71" s="118"/>
      <c r="G71" s="118"/>
      <c r="H71" s="118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6"/>
    </row>
    <row r="72" spans="1:19" x14ac:dyDescent="0.25">
      <c r="A72" s="128"/>
      <c r="B72" s="118"/>
      <c r="C72" s="118"/>
      <c r="D72" s="118"/>
      <c r="E72" s="118"/>
      <c r="F72" s="118"/>
      <c r="G72" s="118"/>
      <c r="H72" s="118"/>
      <c r="I72" s="118"/>
      <c r="J72" s="118"/>
      <c r="K72" s="118"/>
      <c r="L72" s="118"/>
      <c r="M72" s="118"/>
      <c r="N72" s="118"/>
      <c r="O72" s="118"/>
      <c r="P72" s="118"/>
      <c r="Q72" s="118"/>
      <c r="R72" s="118"/>
      <c r="S72" s="6"/>
    </row>
    <row r="73" spans="1:19" x14ac:dyDescent="0.25">
      <c r="A73" s="128"/>
      <c r="B73" s="118"/>
      <c r="C73" s="118"/>
      <c r="D73" s="118"/>
      <c r="E73" s="118"/>
      <c r="F73" s="118"/>
      <c r="G73" s="118"/>
      <c r="H73" s="118"/>
      <c r="I73" s="118"/>
      <c r="J73" s="118"/>
      <c r="K73" s="118"/>
      <c r="L73" s="118"/>
      <c r="M73" s="118"/>
      <c r="N73" s="118"/>
      <c r="O73" s="118"/>
      <c r="P73" s="118"/>
      <c r="Q73" s="118"/>
      <c r="R73" s="118"/>
      <c r="S73" s="6"/>
    </row>
    <row r="74" spans="1:19" x14ac:dyDescent="0.25">
      <c r="A74" s="128"/>
      <c r="B74" s="118"/>
      <c r="C74" s="118"/>
      <c r="D74" s="118"/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6"/>
    </row>
    <row r="75" spans="1:19" x14ac:dyDescent="0.25">
      <c r="A75" s="128"/>
      <c r="B75" s="118"/>
      <c r="C75" s="118"/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6"/>
    </row>
    <row r="76" spans="1:19" x14ac:dyDescent="0.25">
      <c r="A76" s="128"/>
      <c r="B76" s="118"/>
      <c r="C76" s="118"/>
      <c r="D76" s="118"/>
      <c r="E76" s="118"/>
      <c r="F76" s="118"/>
      <c r="G76" s="118"/>
      <c r="H76" s="118"/>
      <c r="I76" s="118"/>
      <c r="J76" s="118"/>
      <c r="K76" s="118"/>
      <c r="L76" s="118"/>
      <c r="M76" s="118"/>
      <c r="N76" s="118"/>
      <c r="O76" s="118"/>
      <c r="P76" s="118"/>
      <c r="Q76" s="118"/>
      <c r="R76" s="118"/>
      <c r="S76" s="6"/>
    </row>
    <row r="77" spans="1:19" x14ac:dyDescent="0.25">
      <c r="A77" s="128"/>
      <c r="B77" s="118"/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6"/>
    </row>
    <row r="78" spans="1:19" x14ac:dyDescent="0.25">
      <c r="A78" s="128"/>
      <c r="B78" s="118"/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6"/>
    </row>
    <row r="79" spans="1:19" x14ac:dyDescent="0.25">
      <c r="A79" s="128"/>
      <c r="B79" s="118"/>
      <c r="C79" s="118"/>
      <c r="D79" s="118"/>
      <c r="E79" s="118"/>
      <c r="F79" s="118"/>
      <c r="G79" s="118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6"/>
    </row>
    <row r="80" spans="1:19" x14ac:dyDescent="0.25">
      <c r="A80" s="128"/>
      <c r="B80" s="118"/>
      <c r="C80" s="118"/>
      <c r="D80" s="118"/>
      <c r="E80" s="118"/>
      <c r="F80" s="118"/>
      <c r="G80" s="118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6"/>
    </row>
    <row r="81" spans="1:26" x14ac:dyDescent="0.25">
      <c r="A81" s="128"/>
      <c r="B81" s="118"/>
      <c r="C81" s="118"/>
      <c r="D81" s="118"/>
      <c r="E81" s="118"/>
      <c r="F81" s="118"/>
      <c r="G81" s="118"/>
      <c r="H81" s="118"/>
      <c r="I81" s="118"/>
      <c r="J81" s="118"/>
      <c r="K81" s="118"/>
      <c r="L81" s="118"/>
      <c r="M81" s="118"/>
      <c r="N81" s="118"/>
      <c r="O81" s="118"/>
      <c r="P81" s="118"/>
      <c r="Q81" s="118"/>
      <c r="R81" s="118"/>
      <c r="S81" s="6"/>
    </row>
    <row r="82" spans="1:26" x14ac:dyDescent="0.25">
      <c r="A82" s="128"/>
      <c r="B82" s="118"/>
      <c r="C82" s="118"/>
      <c r="D82" s="118"/>
      <c r="E82" s="118"/>
      <c r="F82" s="118"/>
      <c r="G82" s="118"/>
      <c r="H82" s="118"/>
      <c r="I82" s="118"/>
      <c r="J82" s="118"/>
      <c r="K82" s="118"/>
      <c r="L82" s="118"/>
      <c r="M82" s="118"/>
      <c r="N82" s="118"/>
      <c r="O82" s="118"/>
      <c r="P82" s="118"/>
      <c r="Q82" s="118"/>
      <c r="R82" s="118"/>
      <c r="S82" s="6"/>
    </row>
    <row r="83" spans="1:26" x14ac:dyDescent="0.25">
      <c r="A83" s="128"/>
      <c r="B83" s="118"/>
      <c r="C83" s="118"/>
      <c r="D83" s="118"/>
      <c r="E83" s="118"/>
      <c r="F83" s="118"/>
      <c r="G83" s="118"/>
      <c r="H83" s="118"/>
      <c r="I83" s="118"/>
      <c r="J83" s="118"/>
      <c r="K83" s="118"/>
      <c r="L83" s="118"/>
      <c r="M83" s="118"/>
      <c r="N83" s="118"/>
      <c r="O83" s="118"/>
      <c r="P83" s="118"/>
      <c r="Q83" s="118"/>
      <c r="R83" s="118"/>
      <c r="S83" s="6"/>
    </row>
    <row r="84" spans="1:26" x14ac:dyDescent="0.25">
      <c r="A84" s="128"/>
      <c r="B84" s="118"/>
      <c r="C84" s="118"/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118"/>
      <c r="Q84" s="118"/>
      <c r="R84" s="118"/>
      <c r="S84" s="6"/>
    </row>
    <row r="85" spans="1:26" x14ac:dyDescent="0.25">
      <c r="A85" s="128"/>
      <c r="B85" s="118"/>
      <c r="C85" s="118"/>
      <c r="D85" s="118"/>
      <c r="E85" s="118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118"/>
      <c r="Q85" s="118"/>
      <c r="R85" s="118"/>
      <c r="S85" s="6"/>
    </row>
    <row r="86" spans="1:26" x14ac:dyDescent="0.25">
      <c r="A86" s="128"/>
      <c r="B86" s="118"/>
      <c r="C86" s="118"/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8"/>
      <c r="Q86" s="118"/>
      <c r="R86" s="118"/>
      <c r="S86" s="6"/>
      <c r="Z86" s="30"/>
    </row>
    <row r="87" spans="1:26" x14ac:dyDescent="0.25">
      <c r="A87" s="5"/>
      <c r="S87" s="6"/>
    </row>
    <row r="88" spans="1:26" x14ac:dyDescent="0.25">
      <c r="A88" s="5"/>
      <c r="S88" s="6"/>
    </row>
    <row r="89" spans="1:26" x14ac:dyDescent="0.25">
      <c r="A89" s="5"/>
      <c r="S89" s="6"/>
    </row>
    <row r="90" spans="1:26" x14ac:dyDescent="0.25">
      <c r="A90" s="7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9"/>
    </row>
    <row r="91" spans="1:26" x14ac:dyDescent="0.25">
      <c r="A91" s="1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4"/>
    </row>
    <row r="92" spans="1:26" ht="15" customHeight="1" x14ac:dyDescent="0.25">
      <c r="A92" s="14"/>
      <c r="B92" s="126" t="s">
        <v>3</v>
      </c>
      <c r="C92" s="126"/>
      <c r="D92" s="126"/>
      <c r="E92" s="126"/>
      <c r="F92" s="126"/>
      <c r="G92" s="126"/>
      <c r="H92" s="126"/>
      <c r="I92" s="126"/>
      <c r="J92" s="126"/>
      <c r="K92" s="126"/>
      <c r="L92" s="126"/>
      <c r="M92" s="126"/>
      <c r="N92" s="126"/>
      <c r="O92" s="126"/>
      <c r="P92" s="126"/>
      <c r="Q92" s="126"/>
      <c r="R92" s="126"/>
      <c r="S92" s="6"/>
    </row>
    <row r="93" spans="1:26" ht="15" customHeight="1" x14ac:dyDescent="0.25">
      <c r="A93" s="14"/>
      <c r="B93" s="126"/>
      <c r="C93" s="126"/>
      <c r="D93" s="126"/>
      <c r="E93" s="126"/>
      <c r="F93" s="126"/>
      <c r="G93" s="126"/>
      <c r="H93" s="126"/>
      <c r="I93" s="126"/>
      <c r="J93" s="126"/>
      <c r="K93" s="126"/>
      <c r="L93" s="126"/>
      <c r="M93" s="126"/>
      <c r="N93" s="126"/>
      <c r="O93" s="126"/>
      <c r="P93" s="126"/>
      <c r="Q93" s="126"/>
      <c r="R93" s="126"/>
      <c r="S93" s="6"/>
    </row>
    <row r="94" spans="1:26" ht="15" customHeight="1" x14ac:dyDescent="0.25">
      <c r="A94" s="14"/>
      <c r="B94" s="126"/>
      <c r="C94" s="126"/>
      <c r="D94" s="126"/>
      <c r="E94" s="126"/>
      <c r="F94" s="126"/>
      <c r="G94" s="126"/>
      <c r="H94" s="126"/>
      <c r="I94" s="126"/>
      <c r="J94" s="126"/>
      <c r="K94" s="126"/>
      <c r="L94" s="126"/>
      <c r="M94" s="126"/>
      <c r="N94" s="126"/>
      <c r="O94" s="126"/>
      <c r="P94" s="126"/>
      <c r="Q94" s="126"/>
      <c r="R94" s="126"/>
      <c r="S94" s="6"/>
    </row>
    <row r="95" spans="1:26" ht="15" customHeight="1" x14ac:dyDescent="0.25">
      <c r="A95" s="138"/>
      <c r="B95" s="121">
        <v>3</v>
      </c>
      <c r="C95" s="139" t="str">
        <f xml:space="preserve"> T6 &amp; " - MÉTODO PLANO"</f>
        <v>MQB_A1 - 5Q0.803.107 - MÉTODO PLANO</v>
      </c>
      <c r="D95" s="139"/>
      <c r="E95" s="139"/>
      <c r="F95" s="139"/>
      <c r="G95" s="139"/>
      <c r="H95" s="139"/>
      <c r="I95" s="139"/>
      <c r="J95" s="139"/>
      <c r="K95" s="139"/>
      <c r="L95" s="139"/>
      <c r="M95" s="139"/>
      <c r="N95" s="139"/>
      <c r="O95" s="139"/>
      <c r="P95" s="139"/>
      <c r="Q95" s="139"/>
      <c r="R95" s="139"/>
      <c r="S95" s="6"/>
    </row>
    <row r="96" spans="1:26" ht="15" customHeight="1" x14ac:dyDescent="0.25">
      <c r="A96" s="138"/>
      <c r="B96" s="121"/>
      <c r="C96" s="139"/>
      <c r="D96" s="139"/>
      <c r="E96" s="139"/>
      <c r="F96" s="139"/>
      <c r="G96" s="139"/>
      <c r="H96" s="139"/>
      <c r="I96" s="139"/>
      <c r="J96" s="139"/>
      <c r="K96" s="139"/>
      <c r="L96" s="139"/>
      <c r="M96" s="139"/>
      <c r="N96" s="139"/>
      <c r="O96" s="139"/>
      <c r="P96" s="139"/>
      <c r="Q96" s="139"/>
      <c r="R96" s="139"/>
      <c r="S96" s="6"/>
    </row>
    <row r="97" spans="1:19" ht="15" customHeight="1" x14ac:dyDescent="0.25">
      <c r="A97" s="138"/>
      <c r="B97" s="121"/>
      <c r="C97" s="139"/>
      <c r="D97" s="139"/>
      <c r="E97" s="139"/>
      <c r="F97" s="139"/>
      <c r="G97" s="139"/>
      <c r="H97" s="139"/>
      <c r="I97" s="139"/>
      <c r="J97" s="139"/>
      <c r="K97" s="139"/>
      <c r="L97" s="139"/>
      <c r="M97" s="139"/>
      <c r="N97" s="139"/>
      <c r="O97" s="139"/>
      <c r="P97" s="139"/>
      <c r="Q97" s="139"/>
      <c r="R97" s="139"/>
      <c r="S97" s="6"/>
    </row>
    <row r="98" spans="1:19" x14ac:dyDescent="0.25">
      <c r="A98" s="15"/>
      <c r="S98" s="6"/>
    </row>
    <row r="99" spans="1:19" ht="15" customHeight="1" x14ac:dyDescent="0.25">
      <c r="A99" s="128" t="s">
        <v>146</v>
      </c>
      <c r="B99" s="118"/>
      <c r="C99" s="118"/>
      <c r="D99" s="118"/>
      <c r="E99" s="118"/>
      <c r="F99" s="118"/>
      <c r="G99" s="118"/>
      <c r="H99" s="118"/>
      <c r="I99" s="118"/>
      <c r="J99" s="118"/>
      <c r="K99" s="118"/>
      <c r="L99" s="118"/>
      <c r="M99" s="118"/>
      <c r="N99" s="118"/>
      <c r="O99" s="118"/>
      <c r="P99" s="118"/>
      <c r="Q99" s="118"/>
      <c r="R99" s="118"/>
      <c r="S99" s="6"/>
    </row>
    <row r="100" spans="1:19" x14ac:dyDescent="0.25">
      <c r="A100" s="128"/>
      <c r="B100" s="118"/>
      <c r="C100" s="118"/>
      <c r="D100" s="118"/>
      <c r="E100" s="118"/>
      <c r="F100" s="118"/>
      <c r="G100" s="118"/>
      <c r="H100" s="118"/>
      <c r="I100" s="118"/>
      <c r="J100" s="118"/>
      <c r="K100" s="118"/>
      <c r="L100" s="118"/>
      <c r="M100" s="118"/>
      <c r="N100" s="118"/>
      <c r="O100" s="118"/>
      <c r="P100" s="118"/>
      <c r="Q100" s="118"/>
      <c r="R100" s="118"/>
      <c r="S100" s="6"/>
    </row>
    <row r="101" spans="1:19" x14ac:dyDescent="0.25">
      <c r="A101" s="128"/>
      <c r="B101" s="118"/>
      <c r="C101" s="118"/>
      <c r="D101" s="118"/>
      <c r="E101" s="118"/>
      <c r="F101" s="118"/>
      <c r="G101" s="118"/>
      <c r="H101" s="118"/>
      <c r="I101" s="118"/>
      <c r="J101" s="118"/>
      <c r="K101" s="118"/>
      <c r="L101" s="118"/>
      <c r="M101" s="118"/>
      <c r="N101" s="118"/>
      <c r="O101" s="118"/>
      <c r="P101" s="118"/>
      <c r="Q101" s="118"/>
      <c r="R101" s="118"/>
      <c r="S101" s="6"/>
    </row>
    <row r="102" spans="1:19" x14ac:dyDescent="0.25">
      <c r="A102" s="128"/>
      <c r="B102" s="118"/>
      <c r="C102" s="118"/>
      <c r="D102" s="118"/>
      <c r="E102" s="118"/>
      <c r="F102" s="118"/>
      <c r="G102" s="118"/>
      <c r="H102" s="118"/>
      <c r="I102" s="118"/>
      <c r="J102" s="118"/>
      <c r="K102" s="118"/>
      <c r="L102" s="118"/>
      <c r="M102" s="118"/>
      <c r="N102" s="118"/>
      <c r="O102" s="118"/>
      <c r="P102" s="118"/>
      <c r="Q102" s="118"/>
      <c r="R102" s="118"/>
      <c r="S102" s="6"/>
    </row>
    <row r="103" spans="1:19" x14ac:dyDescent="0.25">
      <c r="A103" s="128"/>
      <c r="B103" s="118"/>
      <c r="C103" s="118"/>
      <c r="D103" s="118"/>
      <c r="E103" s="118"/>
      <c r="F103" s="118"/>
      <c r="G103" s="118"/>
      <c r="H103" s="118"/>
      <c r="I103" s="118"/>
      <c r="J103" s="118"/>
      <c r="K103" s="118"/>
      <c r="L103" s="118"/>
      <c r="M103" s="118"/>
      <c r="N103" s="118"/>
      <c r="O103" s="118"/>
      <c r="P103" s="118"/>
      <c r="Q103" s="118"/>
      <c r="R103" s="118"/>
      <c r="S103" s="6"/>
    </row>
    <row r="104" spans="1:19" x14ac:dyDescent="0.25">
      <c r="A104" s="128"/>
      <c r="B104" s="118"/>
      <c r="C104" s="118"/>
      <c r="D104" s="118"/>
      <c r="E104" s="118"/>
      <c r="F104" s="118"/>
      <c r="G104" s="118"/>
      <c r="H104" s="118"/>
      <c r="I104" s="118"/>
      <c r="J104" s="118"/>
      <c r="K104" s="118"/>
      <c r="L104" s="118"/>
      <c r="M104" s="118"/>
      <c r="N104" s="118"/>
      <c r="O104" s="118"/>
      <c r="P104" s="118"/>
      <c r="Q104" s="118"/>
      <c r="R104" s="118"/>
      <c r="S104" s="6"/>
    </row>
    <row r="105" spans="1:19" x14ac:dyDescent="0.25">
      <c r="A105" s="128"/>
      <c r="B105" s="118"/>
      <c r="C105" s="118"/>
      <c r="D105" s="118"/>
      <c r="E105" s="118"/>
      <c r="F105" s="118"/>
      <c r="G105" s="118"/>
      <c r="H105" s="118"/>
      <c r="I105" s="118"/>
      <c r="J105" s="118"/>
      <c r="K105" s="118"/>
      <c r="L105" s="118"/>
      <c r="M105" s="118"/>
      <c r="N105" s="118"/>
      <c r="O105" s="118"/>
      <c r="P105" s="118"/>
      <c r="Q105" s="118"/>
      <c r="R105" s="118"/>
      <c r="S105" s="6"/>
    </row>
    <row r="106" spans="1:19" x14ac:dyDescent="0.25">
      <c r="A106" s="128"/>
      <c r="B106" s="118"/>
      <c r="C106" s="118"/>
      <c r="D106" s="118"/>
      <c r="E106" s="118"/>
      <c r="F106" s="118"/>
      <c r="G106" s="118"/>
      <c r="H106" s="118"/>
      <c r="I106" s="118"/>
      <c r="J106" s="118"/>
      <c r="K106" s="118"/>
      <c r="L106" s="118"/>
      <c r="M106" s="118"/>
      <c r="N106" s="118"/>
      <c r="O106" s="118"/>
      <c r="P106" s="118"/>
      <c r="Q106" s="118"/>
      <c r="R106" s="118"/>
      <c r="S106" s="6"/>
    </row>
    <row r="107" spans="1:19" x14ac:dyDescent="0.25">
      <c r="A107" s="128"/>
      <c r="B107" s="118"/>
      <c r="C107" s="118"/>
      <c r="D107" s="118"/>
      <c r="E107" s="118"/>
      <c r="F107" s="118"/>
      <c r="G107" s="118"/>
      <c r="H107" s="118"/>
      <c r="I107" s="118"/>
      <c r="J107" s="118"/>
      <c r="K107" s="118"/>
      <c r="L107" s="118"/>
      <c r="M107" s="118"/>
      <c r="N107" s="118"/>
      <c r="O107" s="118"/>
      <c r="P107" s="118"/>
      <c r="Q107" s="118"/>
      <c r="R107" s="118"/>
      <c r="S107" s="6"/>
    </row>
    <row r="108" spans="1:19" x14ac:dyDescent="0.25">
      <c r="A108" s="128"/>
      <c r="B108" s="118"/>
      <c r="C108" s="118"/>
      <c r="D108" s="118"/>
      <c r="E108" s="118"/>
      <c r="F108" s="118"/>
      <c r="G108" s="118"/>
      <c r="H108" s="118"/>
      <c r="I108" s="118"/>
      <c r="J108" s="118"/>
      <c r="K108" s="118"/>
      <c r="L108" s="118"/>
      <c r="M108" s="118"/>
      <c r="N108" s="118"/>
      <c r="O108" s="118"/>
      <c r="P108" s="118"/>
      <c r="Q108" s="118"/>
      <c r="R108" s="118"/>
      <c r="S108" s="6"/>
    </row>
    <row r="109" spans="1:19" x14ac:dyDescent="0.25">
      <c r="A109" s="128"/>
      <c r="B109" s="118"/>
      <c r="C109" s="118"/>
      <c r="D109" s="118"/>
      <c r="E109" s="118"/>
      <c r="F109" s="118"/>
      <c r="G109" s="118"/>
      <c r="H109" s="118"/>
      <c r="I109" s="118"/>
      <c r="J109" s="118"/>
      <c r="K109" s="118"/>
      <c r="L109" s="118"/>
      <c r="M109" s="118"/>
      <c r="N109" s="118"/>
      <c r="O109" s="118"/>
      <c r="P109" s="118"/>
      <c r="Q109" s="118"/>
      <c r="R109" s="118"/>
      <c r="S109" s="6"/>
    </row>
    <row r="110" spans="1:19" x14ac:dyDescent="0.25">
      <c r="A110" s="128"/>
      <c r="B110" s="118"/>
      <c r="C110" s="118"/>
      <c r="D110" s="118"/>
      <c r="E110" s="118"/>
      <c r="F110" s="118"/>
      <c r="G110" s="118"/>
      <c r="H110" s="118"/>
      <c r="I110" s="118"/>
      <c r="J110" s="118"/>
      <c r="K110" s="118"/>
      <c r="L110" s="118"/>
      <c r="M110" s="118"/>
      <c r="N110" s="118"/>
      <c r="O110" s="118"/>
      <c r="P110" s="118"/>
      <c r="Q110" s="118"/>
      <c r="R110" s="118"/>
      <c r="S110" s="6"/>
    </row>
    <row r="111" spans="1:19" x14ac:dyDescent="0.25">
      <c r="A111" s="128"/>
      <c r="B111" s="118"/>
      <c r="C111" s="118"/>
      <c r="D111" s="118"/>
      <c r="E111" s="118"/>
      <c r="F111" s="118"/>
      <c r="G111" s="118"/>
      <c r="H111" s="118"/>
      <c r="I111" s="118"/>
      <c r="J111" s="118"/>
      <c r="K111" s="118"/>
      <c r="L111" s="118"/>
      <c r="M111" s="118"/>
      <c r="N111" s="118"/>
      <c r="O111" s="118"/>
      <c r="P111" s="118"/>
      <c r="Q111" s="118"/>
      <c r="R111" s="118"/>
      <c r="S111" s="6"/>
    </row>
    <row r="112" spans="1:19" x14ac:dyDescent="0.25">
      <c r="A112" s="128"/>
      <c r="B112" s="118"/>
      <c r="C112" s="118"/>
      <c r="D112" s="118"/>
      <c r="E112" s="118"/>
      <c r="F112" s="118"/>
      <c r="G112" s="118"/>
      <c r="H112" s="118"/>
      <c r="I112" s="118"/>
      <c r="J112" s="118"/>
      <c r="K112" s="118"/>
      <c r="L112" s="118"/>
      <c r="M112" s="118"/>
      <c r="N112" s="118"/>
      <c r="O112" s="118"/>
      <c r="P112" s="118"/>
      <c r="Q112" s="118"/>
      <c r="R112" s="118"/>
      <c r="S112" s="6"/>
    </row>
    <row r="113" spans="1:19" x14ac:dyDescent="0.25">
      <c r="A113" s="128"/>
      <c r="B113" s="118"/>
      <c r="C113" s="118"/>
      <c r="D113" s="118"/>
      <c r="E113" s="118"/>
      <c r="F113" s="118"/>
      <c r="G113" s="118"/>
      <c r="H113" s="118"/>
      <c r="I113" s="118"/>
      <c r="J113" s="118"/>
      <c r="K113" s="118"/>
      <c r="L113" s="118"/>
      <c r="M113" s="118"/>
      <c r="N113" s="118"/>
      <c r="O113" s="118"/>
      <c r="P113" s="118"/>
      <c r="Q113" s="118"/>
      <c r="R113" s="118"/>
      <c r="S113" s="6"/>
    </row>
    <row r="114" spans="1:19" x14ac:dyDescent="0.25">
      <c r="A114" s="128"/>
      <c r="B114" s="118"/>
      <c r="C114" s="118"/>
      <c r="D114" s="118"/>
      <c r="E114" s="118"/>
      <c r="F114" s="118"/>
      <c r="G114" s="118"/>
      <c r="H114" s="118"/>
      <c r="I114" s="118"/>
      <c r="J114" s="118"/>
      <c r="K114" s="118"/>
      <c r="L114" s="118"/>
      <c r="M114" s="118"/>
      <c r="N114" s="118"/>
      <c r="O114" s="118"/>
      <c r="P114" s="118"/>
      <c r="Q114" s="118"/>
      <c r="R114" s="118"/>
      <c r="S114" s="6"/>
    </row>
    <row r="115" spans="1:19" x14ac:dyDescent="0.25">
      <c r="A115" s="128"/>
      <c r="B115" s="118"/>
      <c r="C115" s="118"/>
      <c r="D115" s="118"/>
      <c r="E115" s="118"/>
      <c r="F115" s="118"/>
      <c r="G115" s="118"/>
      <c r="H115" s="118"/>
      <c r="I115" s="118"/>
      <c r="J115" s="118"/>
      <c r="K115" s="118"/>
      <c r="L115" s="118"/>
      <c r="M115" s="118"/>
      <c r="N115" s="118"/>
      <c r="O115" s="118"/>
      <c r="P115" s="118"/>
      <c r="Q115" s="118"/>
      <c r="R115" s="118"/>
      <c r="S115" s="6"/>
    </row>
    <row r="116" spans="1:19" x14ac:dyDescent="0.25">
      <c r="A116" s="128"/>
      <c r="B116" s="118"/>
      <c r="C116" s="118"/>
      <c r="D116" s="118"/>
      <c r="E116" s="118"/>
      <c r="F116" s="118"/>
      <c r="G116" s="118"/>
      <c r="H116" s="118"/>
      <c r="I116" s="118"/>
      <c r="J116" s="118"/>
      <c r="K116" s="118"/>
      <c r="L116" s="118"/>
      <c r="M116" s="118"/>
      <c r="N116" s="118"/>
      <c r="O116" s="118"/>
      <c r="P116" s="118"/>
      <c r="Q116" s="118"/>
      <c r="R116" s="118"/>
      <c r="S116" s="6"/>
    </row>
    <row r="117" spans="1:19" x14ac:dyDescent="0.25">
      <c r="A117" s="128"/>
      <c r="B117" s="118"/>
      <c r="C117" s="118"/>
      <c r="D117" s="118"/>
      <c r="E117" s="118"/>
      <c r="F117" s="118"/>
      <c r="G117" s="118"/>
      <c r="H117" s="118"/>
      <c r="I117" s="118"/>
      <c r="J117" s="118"/>
      <c r="K117" s="118"/>
      <c r="L117" s="118"/>
      <c r="M117" s="118"/>
      <c r="N117" s="118"/>
      <c r="O117" s="118"/>
      <c r="P117" s="118"/>
      <c r="Q117" s="118"/>
      <c r="R117" s="118"/>
      <c r="S117" s="6"/>
    </row>
    <row r="118" spans="1:19" x14ac:dyDescent="0.25">
      <c r="A118" s="128"/>
      <c r="B118" s="118"/>
      <c r="C118" s="118"/>
      <c r="D118" s="118"/>
      <c r="E118" s="118"/>
      <c r="F118" s="118"/>
      <c r="G118" s="118"/>
      <c r="H118" s="118"/>
      <c r="I118" s="118"/>
      <c r="J118" s="118"/>
      <c r="K118" s="118"/>
      <c r="L118" s="118"/>
      <c r="M118" s="118"/>
      <c r="N118" s="118"/>
      <c r="O118" s="118"/>
      <c r="P118" s="118"/>
      <c r="Q118" s="118"/>
      <c r="R118" s="118"/>
      <c r="S118" s="6"/>
    </row>
    <row r="119" spans="1:19" x14ac:dyDescent="0.25">
      <c r="A119" s="128"/>
      <c r="B119" s="118"/>
      <c r="C119" s="118"/>
      <c r="D119" s="118"/>
      <c r="E119" s="118"/>
      <c r="F119" s="118"/>
      <c r="G119" s="118"/>
      <c r="H119" s="118"/>
      <c r="I119" s="118"/>
      <c r="J119" s="118"/>
      <c r="K119" s="118"/>
      <c r="L119" s="118"/>
      <c r="M119" s="118"/>
      <c r="N119" s="118"/>
      <c r="O119" s="118"/>
      <c r="P119" s="118"/>
      <c r="Q119" s="118"/>
      <c r="R119" s="118"/>
      <c r="S119" s="6"/>
    </row>
    <row r="120" spans="1:19" x14ac:dyDescent="0.25">
      <c r="A120" s="128"/>
      <c r="B120" s="118"/>
      <c r="C120" s="118"/>
      <c r="D120" s="118"/>
      <c r="E120" s="118"/>
      <c r="F120" s="118"/>
      <c r="G120" s="118"/>
      <c r="H120" s="118"/>
      <c r="I120" s="118"/>
      <c r="J120" s="118"/>
      <c r="K120" s="118"/>
      <c r="L120" s="118"/>
      <c r="M120" s="118"/>
      <c r="N120" s="118"/>
      <c r="O120" s="118"/>
      <c r="P120" s="118"/>
      <c r="Q120" s="118"/>
      <c r="R120" s="118"/>
      <c r="S120" s="6"/>
    </row>
    <row r="121" spans="1:19" x14ac:dyDescent="0.25">
      <c r="A121" s="128"/>
      <c r="B121" s="118"/>
      <c r="C121" s="118"/>
      <c r="D121" s="118"/>
      <c r="E121" s="118"/>
      <c r="F121" s="118"/>
      <c r="G121" s="118"/>
      <c r="H121" s="118"/>
      <c r="I121" s="118"/>
      <c r="J121" s="118"/>
      <c r="K121" s="118"/>
      <c r="L121" s="118"/>
      <c r="M121" s="118"/>
      <c r="N121" s="118"/>
      <c r="O121" s="118"/>
      <c r="P121" s="118"/>
      <c r="Q121" s="118"/>
      <c r="R121" s="118"/>
      <c r="S121" s="6"/>
    </row>
    <row r="122" spans="1:19" x14ac:dyDescent="0.25">
      <c r="A122" s="128"/>
      <c r="B122" s="118"/>
      <c r="C122" s="118"/>
      <c r="D122" s="118"/>
      <c r="E122" s="118"/>
      <c r="F122" s="118"/>
      <c r="G122" s="118"/>
      <c r="H122" s="118"/>
      <c r="I122" s="118"/>
      <c r="J122" s="118"/>
      <c r="K122" s="118"/>
      <c r="L122" s="118"/>
      <c r="M122" s="118"/>
      <c r="N122" s="118"/>
      <c r="O122" s="118"/>
      <c r="P122" s="118"/>
      <c r="Q122" s="118"/>
      <c r="R122" s="118"/>
      <c r="S122" s="6"/>
    </row>
    <row r="123" spans="1:19" x14ac:dyDescent="0.25">
      <c r="A123" s="128"/>
      <c r="B123" s="118"/>
      <c r="C123" s="118"/>
      <c r="D123" s="118"/>
      <c r="E123" s="118"/>
      <c r="F123" s="118"/>
      <c r="G123" s="118"/>
      <c r="H123" s="118"/>
      <c r="I123" s="118"/>
      <c r="J123" s="118"/>
      <c r="K123" s="118"/>
      <c r="L123" s="118"/>
      <c r="M123" s="118"/>
      <c r="N123" s="118"/>
      <c r="O123" s="118"/>
      <c r="P123" s="118"/>
      <c r="Q123" s="118"/>
      <c r="R123" s="118"/>
      <c r="S123" s="6"/>
    </row>
    <row r="124" spans="1:19" x14ac:dyDescent="0.25">
      <c r="A124" s="128"/>
      <c r="B124" s="118"/>
      <c r="C124" s="118"/>
      <c r="D124" s="118"/>
      <c r="E124" s="118"/>
      <c r="F124" s="118"/>
      <c r="G124" s="118"/>
      <c r="H124" s="118"/>
      <c r="I124" s="118"/>
      <c r="J124" s="118"/>
      <c r="K124" s="118"/>
      <c r="L124" s="118"/>
      <c r="M124" s="118"/>
      <c r="N124" s="118"/>
      <c r="O124" s="118"/>
      <c r="P124" s="118"/>
      <c r="Q124" s="118"/>
      <c r="R124" s="118"/>
      <c r="S124" s="6"/>
    </row>
    <row r="125" spans="1:19" x14ac:dyDescent="0.25">
      <c r="A125" s="128"/>
      <c r="B125" s="118"/>
      <c r="C125" s="118"/>
      <c r="D125" s="118"/>
      <c r="E125" s="118"/>
      <c r="F125" s="118"/>
      <c r="G125" s="118"/>
      <c r="H125" s="118"/>
      <c r="I125" s="118"/>
      <c r="J125" s="118"/>
      <c r="K125" s="118"/>
      <c r="L125" s="118"/>
      <c r="M125" s="118"/>
      <c r="N125" s="118"/>
      <c r="O125" s="118"/>
      <c r="P125" s="118"/>
      <c r="Q125" s="118"/>
      <c r="R125" s="118"/>
      <c r="S125" s="6"/>
    </row>
    <row r="126" spans="1:19" x14ac:dyDescent="0.25">
      <c r="A126" s="128"/>
      <c r="B126" s="118"/>
      <c r="C126" s="118"/>
      <c r="D126" s="118"/>
      <c r="E126" s="118"/>
      <c r="F126" s="118"/>
      <c r="G126" s="118"/>
      <c r="H126" s="118"/>
      <c r="I126" s="118"/>
      <c r="J126" s="118"/>
      <c r="K126" s="118"/>
      <c r="L126" s="118"/>
      <c r="M126" s="118"/>
      <c r="N126" s="118"/>
      <c r="O126" s="118"/>
      <c r="P126" s="118"/>
      <c r="Q126" s="118"/>
      <c r="R126" s="118"/>
      <c r="S126" s="6"/>
    </row>
    <row r="127" spans="1:19" x14ac:dyDescent="0.25">
      <c r="A127" s="128"/>
      <c r="B127" s="118"/>
      <c r="C127" s="118"/>
      <c r="D127" s="118"/>
      <c r="E127" s="118"/>
      <c r="F127" s="118"/>
      <c r="G127" s="118"/>
      <c r="H127" s="118"/>
      <c r="I127" s="118"/>
      <c r="J127" s="118"/>
      <c r="K127" s="118"/>
      <c r="L127" s="118"/>
      <c r="M127" s="118"/>
      <c r="N127" s="118"/>
      <c r="O127" s="118"/>
      <c r="P127" s="118"/>
      <c r="Q127" s="118"/>
      <c r="R127" s="118"/>
      <c r="S127" s="6"/>
    </row>
    <row r="128" spans="1:19" x14ac:dyDescent="0.25">
      <c r="A128" s="128"/>
      <c r="B128" s="118"/>
      <c r="C128" s="118"/>
      <c r="D128" s="118"/>
      <c r="E128" s="118"/>
      <c r="F128" s="118"/>
      <c r="G128" s="118"/>
      <c r="H128" s="118"/>
      <c r="I128" s="118"/>
      <c r="J128" s="118"/>
      <c r="K128" s="118"/>
      <c r="L128" s="118"/>
      <c r="M128" s="118"/>
      <c r="N128" s="118"/>
      <c r="O128" s="118"/>
      <c r="P128" s="118"/>
      <c r="Q128" s="118"/>
      <c r="R128" s="118"/>
      <c r="S128" s="6"/>
    </row>
    <row r="129" spans="1:19" x14ac:dyDescent="0.25">
      <c r="A129" s="128"/>
      <c r="B129" s="118"/>
      <c r="C129" s="118"/>
      <c r="D129" s="118"/>
      <c r="E129" s="118"/>
      <c r="F129" s="118"/>
      <c r="G129" s="118"/>
      <c r="H129" s="118"/>
      <c r="I129" s="118"/>
      <c r="J129" s="118"/>
      <c r="K129" s="118"/>
      <c r="L129" s="118"/>
      <c r="M129" s="118"/>
      <c r="N129" s="118"/>
      <c r="O129" s="118"/>
      <c r="P129" s="118"/>
      <c r="Q129" s="118"/>
      <c r="R129" s="118"/>
      <c r="S129" s="6"/>
    </row>
    <row r="130" spans="1:19" x14ac:dyDescent="0.25">
      <c r="A130" s="128"/>
      <c r="B130" s="118"/>
      <c r="C130" s="118"/>
      <c r="D130" s="118"/>
      <c r="E130" s="118"/>
      <c r="F130" s="118"/>
      <c r="G130" s="118"/>
      <c r="H130" s="118"/>
      <c r="I130" s="118"/>
      <c r="J130" s="118"/>
      <c r="K130" s="118"/>
      <c r="L130" s="118"/>
      <c r="M130" s="118"/>
      <c r="N130" s="118"/>
      <c r="O130" s="118"/>
      <c r="P130" s="118"/>
      <c r="Q130" s="118"/>
      <c r="R130" s="118"/>
      <c r="S130" s="6"/>
    </row>
    <row r="131" spans="1:19" x14ac:dyDescent="0.25">
      <c r="A131" s="128"/>
      <c r="B131" s="118"/>
      <c r="C131" s="118"/>
      <c r="D131" s="118"/>
      <c r="E131" s="118"/>
      <c r="F131" s="118"/>
      <c r="G131" s="118"/>
      <c r="H131" s="118"/>
      <c r="I131" s="118"/>
      <c r="J131" s="118"/>
      <c r="K131" s="118"/>
      <c r="L131" s="118"/>
      <c r="M131" s="118"/>
      <c r="N131" s="118"/>
      <c r="O131" s="118"/>
      <c r="P131" s="118"/>
      <c r="Q131" s="118"/>
      <c r="R131" s="118"/>
      <c r="S131" s="6"/>
    </row>
    <row r="132" spans="1:19" x14ac:dyDescent="0.25">
      <c r="A132" s="5"/>
      <c r="S132" s="6"/>
    </row>
    <row r="133" spans="1:19" x14ac:dyDescent="0.25">
      <c r="A133" s="5"/>
      <c r="S133" s="6"/>
    </row>
    <row r="134" spans="1:19" x14ac:dyDescent="0.25">
      <c r="A134" s="5"/>
      <c r="S134" s="6"/>
    </row>
    <row r="135" spans="1:19" x14ac:dyDescent="0.25">
      <c r="A135" s="7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9"/>
    </row>
    <row r="136" spans="1:19" x14ac:dyDescent="0.25">
      <c r="A136" s="1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4"/>
    </row>
    <row r="137" spans="1:19" ht="15" customHeight="1" x14ac:dyDescent="0.25">
      <c r="A137" s="14"/>
      <c r="B137" s="126" t="s">
        <v>3</v>
      </c>
      <c r="C137" s="126"/>
      <c r="D137" s="126"/>
      <c r="E137" s="126"/>
      <c r="F137" s="126"/>
      <c r="G137" s="126"/>
      <c r="H137" s="126"/>
      <c r="I137" s="126"/>
      <c r="J137" s="126"/>
      <c r="K137" s="126"/>
      <c r="L137" s="126"/>
      <c r="M137" s="126"/>
      <c r="N137" s="126"/>
      <c r="O137" s="126"/>
      <c r="P137" s="126"/>
      <c r="Q137" s="126"/>
      <c r="R137" s="126"/>
      <c r="S137" s="6"/>
    </row>
    <row r="138" spans="1:19" ht="15" customHeight="1" x14ac:dyDescent="0.25">
      <c r="A138" s="14"/>
      <c r="B138" s="126"/>
      <c r="C138" s="126"/>
      <c r="D138" s="126"/>
      <c r="E138" s="126"/>
      <c r="F138" s="126"/>
      <c r="G138" s="126"/>
      <c r="H138" s="126"/>
      <c r="I138" s="126"/>
      <c r="J138" s="126"/>
      <c r="K138" s="126"/>
      <c r="L138" s="126"/>
      <c r="M138" s="126"/>
      <c r="N138" s="126"/>
      <c r="O138" s="126"/>
      <c r="P138" s="126"/>
      <c r="Q138" s="126"/>
      <c r="R138" s="126"/>
      <c r="S138" s="6"/>
    </row>
    <row r="139" spans="1:19" ht="15" customHeight="1" x14ac:dyDescent="0.25">
      <c r="A139" s="14"/>
      <c r="B139" s="126"/>
      <c r="C139" s="126"/>
      <c r="D139" s="126"/>
      <c r="E139" s="126"/>
      <c r="F139" s="126"/>
      <c r="G139" s="126"/>
      <c r="H139" s="126"/>
      <c r="I139" s="126"/>
      <c r="J139" s="126"/>
      <c r="K139" s="126"/>
      <c r="L139" s="126"/>
      <c r="M139" s="126"/>
      <c r="N139" s="126"/>
      <c r="O139" s="126"/>
      <c r="P139" s="126"/>
      <c r="Q139" s="126"/>
      <c r="R139" s="126"/>
      <c r="S139" s="6"/>
    </row>
    <row r="140" spans="1:19" ht="15" customHeight="1" x14ac:dyDescent="0.25">
      <c r="A140" s="138"/>
      <c r="B140" s="121">
        <v>4</v>
      </c>
      <c r="C140" s="139" t="str">
        <f>T6 &amp;" - DIE DESIGN"</f>
        <v>MQB_A1 - 5Q0.803.107 - DIE DESIGN</v>
      </c>
      <c r="D140" s="139"/>
      <c r="E140" s="139"/>
      <c r="F140" s="139"/>
      <c r="G140" s="139"/>
      <c r="H140" s="139"/>
      <c r="I140" s="139"/>
      <c r="J140" s="139"/>
      <c r="K140" s="139"/>
      <c r="L140" s="139"/>
      <c r="M140" s="139"/>
      <c r="N140" s="139"/>
      <c r="O140" s="139"/>
      <c r="P140" s="139"/>
      <c r="Q140" s="139"/>
      <c r="R140" s="139"/>
      <c r="S140" s="6"/>
    </row>
    <row r="141" spans="1:19" ht="15" customHeight="1" x14ac:dyDescent="0.25">
      <c r="A141" s="138"/>
      <c r="B141" s="121"/>
      <c r="C141" s="139"/>
      <c r="D141" s="139"/>
      <c r="E141" s="139"/>
      <c r="F141" s="139"/>
      <c r="G141" s="139"/>
      <c r="H141" s="139"/>
      <c r="I141" s="139"/>
      <c r="J141" s="139"/>
      <c r="K141" s="139"/>
      <c r="L141" s="139"/>
      <c r="M141" s="139"/>
      <c r="N141" s="139"/>
      <c r="O141" s="139"/>
      <c r="P141" s="139"/>
      <c r="Q141" s="139"/>
      <c r="R141" s="139"/>
      <c r="S141" s="6"/>
    </row>
    <row r="142" spans="1:19" ht="15" customHeight="1" x14ac:dyDescent="0.25">
      <c r="A142" s="138"/>
      <c r="B142" s="121"/>
      <c r="C142" s="139"/>
      <c r="D142" s="139"/>
      <c r="E142" s="139"/>
      <c r="F142" s="139"/>
      <c r="G142" s="139"/>
      <c r="H142" s="139"/>
      <c r="I142" s="139"/>
      <c r="J142" s="139"/>
      <c r="K142" s="139"/>
      <c r="L142" s="139"/>
      <c r="M142" s="139"/>
      <c r="N142" s="139"/>
      <c r="O142" s="139"/>
      <c r="P142" s="139"/>
      <c r="Q142" s="139"/>
      <c r="R142" s="139"/>
      <c r="S142" s="6"/>
    </row>
    <row r="143" spans="1:19" x14ac:dyDescent="0.25">
      <c r="A143" s="15"/>
      <c r="S143" s="6"/>
    </row>
    <row r="144" spans="1:19" ht="15" customHeight="1" x14ac:dyDescent="0.25">
      <c r="A144" s="128" t="s">
        <v>146</v>
      </c>
      <c r="B144" s="118"/>
      <c r="C144" s="118"/>
      <c r="D144" s="118"/>
      <c r="E144" s="118"/>
      <c r="F144" s="118"/>
      <c r="G144" s="118"/>
      <c r="H144" s="118"/>
      <c r="I144" s="118"/>
      <c r="J144" s="118"/>
      <c r="K144" s="118"/>
      <c r="L144" s="118"/>
      <c r="M144" s="118"/>
      <c r="N144" s="118"/>
      <c r="O144" s="118"/>
      <c r="P144" s="118"/>
      <c r="Q144" s="118"/>
      <c r="R144" s="118"/>
      <c r="S144" s="6"/>
    </row>
    <row r="145" spans="1:19" x14ac:dyDescent="0.25">
      <c r="A145" s="128"/>
      <c r="B145" s="118"/>
      <c r="C145" s="118"/>
      <c r="D145" s="118"/>
      <c r="E145" s="118"/>
      <c r="F145" s="118"/>
      <c r="G145" s="118"/>
      <c r="H145" s="118"/>
      <c r="I145" s="118"/>
      <c r="J145" s="118"/>
      <c r="K145" s="118"/>
      <c r="L145" s="118"/>
      <c r="M145" s="118"/>
      <c r="N145" s="118"/>
      <c r="O145" s="118"/>
      <c r="P145" s="118"/>
      <c r="Q145" s="118"/>
      <c r="R145" s="118"/>
      <c r="S145" s="6"/>
    </row>
    <row r="146" spans="1:19" x14ac:dyDescent="0.25">
      <c r="A146" s="128"/>
      <c r="B146" s="118"/>
      <c r="C146" s="118"/>
      <c r="D146" s="118"/>
      <c r="E146" s="118"/>
      <c r="F146" s="118"/>
      <c r="G146" s="118"/>
      <c r="H146" s="118"/>
      <c r="I146" s="118"/>
      <c r="J146" s="118"/>
      <c r="K146" s="118"/>
      <c r="L146" s="118"/>
      <c r="M146" s="118"/>
      <c r="N146" s="118"/>
      <c r="O146" s="118"/>
      <c r="P146" s="118"/>
      <c r="Q146" s="118"/>
      <c r="R146" s="118"/>
      <c r="S146" s="6"/>
    </row>
    <row r="147" spans="1:19" x14ac:dyDescent="0.25">
      <c r="A147" s="128"/>
      <c r="B147" s="118"/>
      <c r="C147" s="118"/>
      <c r="D147" s="118"/>
      <c r="E147" s="118"/>
      <c r="F147" s="118"/>
      <c r="G147" s="118"/>
      <c r="H147" s="118"/>
      <c r="I147" s="118"/>
      <c r="J147" s="118"/>
      <c r="K147" s="118"/>
      <c r="L147" s="118"/>
      <c r="M147" s="118"/>
      <c r="N147" s="118"/>
      <c r="O147" s="118"/>
      <c r="P147" s="118"/>
      <c r="Q147" s="118"/>
      <c r="R147" s="118"/>
      <c r="S147" s="6"/>
    </row>
    <row r="148" spans="1:19" x14ac:dyDescent="0.25">
      <c r="A148" s="128"/>
      <c r="B148" s="118"/>
      <c r="C148" s="118"/>
      <c r="D148" s="118"/>
      <c r="E148" s="118"/>
      <c r="F148" s="118"/>
      <c r="G148" s="118"/>
      <c r="H148" s="118"/>
      <c r="I148" s="118"/>
      <c r="J148" s="118"/>
      <c r="K148" s="118"/>
      <c r="L148" s="118"/>
      <c r="M148" s="118"/>
      <c r="N148" s="118"/>
      <c r="O148" s="118"/>
      <c r="P148" s="118"/>
      <c r="Q148" s="118"/>
      <c r="R148" s="118"/>
      <c r="S148" s="6"/>
    </row>
    <row r="149" spans="1:19" x14ac:dyDescent="0.25">
      <c r="A149" s="128"/>
      <c r="B149" s="118"/>
      <c r="C149" s="118"/>
      <c r="D149" s="118"/>
      <c r="E149" s="118"/>
      <c r="F149" s="118"/>
      <c r="G149" s="118"/>
      <c r="H149" s="118"/>
      <c r="I149" s="118"/>
      <c r="J149" s="118"/>
      <c r="K149" s="118"/>
      <c r="L149" s="118"/>
      <c r="M149" s="118"/>
      <c r="N149" s="118"/>
      <c r="O149" s="118"/>
      <c r="P149" s="118"/>
      <c r="Q149" s="118"/>
      <c r="R149" s="118"/>
      <c r="S149" s="6"/>
    </row>
    <row r="150" spans="1:19" x14ac:dyDescent="0.25">
      <c r="A150" s="128"/>
      <c r="B150" s="118"/>
      <c r="C150" s="118"/>
      <c r="D150" s="118"/>
      <c r="E150" s="118"/>
      <c r="F150" s="118"/>
      <c r="G150" s="118"/>
      <c r="H150" s="118"/>
      <c r="I150" s="118"/>
      <c r="J150" s="118"/>
      <c r="K150" s="118"/>
      <c r="L150" s="118"/>
      <c r="M150" s="118"/>
      <c r="N150" s="118"/>
      <c r="O150" s="118"/>
      <c r="P150" s="118"/>
      <c r="Q150" s="118"/>
      <c r="R150" s="118"/>
      <c r="S150" s="6"/>
    </row>
    <row r="151" spans="1:19" x14ac:dyDescent="0.25">
      <c r="A151" s="128"/>
      <c r="B151" s="118"/>
      <c r="C151" s="118"/>
      <c r="D151" s="118"/>
      <c r="E151" s="118"/>
      <c r="F151" s="118"/>
      <c r="G151" s="118"/>
      <c r="H151" s="118"/>
      <c r="I151" s="118"/>
      <c r="J151" s="118"/>
      <c r="K151" s="118"/>
      <c r="L151" s="118"/>
      <c r="M151" s="118"/>
      <c r="N151" s="118"/>
      <c r="O151" s="118"/>
      <c r="P151" s="118"/>
      <c r="Q151" s="118"/>
      <c r="R151" s="118"/>
      <c r="S151" s="6"/>
    </row>
    <row r="152" spans="1:19" x14ac:dyDescent="0.25">
      <c r="A152" s="128"/>
      <c r="B152" s="118"/>
      <c r="C152" s="118"/>
      <c r="D152" s="118"/>
      <c r="E152" s="118"/>
      <c r="F152" s="118"/>
      <c r="G152" s="118"/>
      <c r="H152" s="118"/>
      <c r="I152" s="118"/>
      <c r="J152" s="118"/>
      <c r="K152" s="118"/>
      <c r="L152" s="118"/>
      <c r="M152" s="118"/>
      <c r="N152" s="118"/>
      <c r="O152" s="118"/>
      <c r="P152" s="118"/>
      <c r="Q152" s="118"/>
      <c r="R152" s="118"/>
      <c r="S152" s="6"/>
    </row>
    <row r="153" spans="1:19" x14ac:dyDescent="0.25">
      <c r="A153" s="128"/>
      <c r="B153" s="118"/>
      <c r="C153" s="118"/>
      <c r="D153" s="118"/>
      <c r="E153" s="118"/>
      <c r="F153" s="118"/>
      <c r="G153" s="118"/>
      <c r="H153" s="118"/>
      <c r="I153" s="118"/>
      <c r="J153" s="118"/>
      <c r="K153" s="118"/>
      <c r="L153" s="118"/>
      <c r="M153" s="118"/>
      <c r="N153" s="118"/>
      <c r="O153" s="118"/>
      <c r="P153" s="118"/>
      <c r="Q153" s="118"/>
      <c r="R153" s="118"/>
      <c r="S153" s="6"/>
    </row>
    <row r="154" spans="1:19" x14ac:dyDescent="0.25">
      <c r="A154" s="128"/>
      <c r="B154" s="118"/>
      <c r="C154" s="118"/>
      <c r="D154" s="118"/>
      <c r="E154" s="118"/>
      <c r="F154" s="118"/>
      <c r="G154" s="118"/>
      <c r="H154" s="118"/>
      <c r="I154" s="118"/>
      <c r="J154" s="118"/>
      <c r="K154" s="118"/>
      <c r="L154" s="118"/>
      <c r="M154" s="118"/>
      <c r="N154" s="118"/>
      <c r="O154" s="118"/>
      <c r="P154" s="118"/>
      <c r="Q154" s="118"/>
      <c r="R154" s="118"/>
      <c r="S154" s="6"/>
    </row>
    <row r="155" spans="1:19" x14ac:dyDescent="0.25">
      <c r="A155" s="128"/>
      <c r="B155" s="118"/>
      <c r="C155" s="118"/>
      <c r="D155" s="118"/>
      <c r="E155" s="118"/>
      <c r="F155" s="118"/>
      <c r="G155" s="118"/>
      <c r="H155" s="118"/>
      <c r="I155" s="118"/>
      <c r="J155" s="118"/>
      <c r="K155" s="118"/>
      <c r="L155" s="118"/>
      <c r="M155" s="118"/>
      <c r="N155" s="118"/>
      <c r="O155" s="118"/>
      <c r="P155" s="118"/>
      <c r="Q155" s="118"/>
      <c r="R155" s="118"/>
      <c r="S155" s="6"/>
    </row>
    <row r="156" spans="1:19" x14ac:dyDescent="0.25">
      <c r="A156" s="128"/>
      <c r="B156" s="118"/>
      <c r="C156" s="118"/>
      <c r="D156" s="118"/>
      <c r="E156" s="118"/>
      <c r="F156" s="118"/>
      <c r="G156" s="118"/>
      <c r="H156" s="118"/>
      <c r="I156" s="118"/>
      <c r="J156" s="118"/>
      <c r="K156" s="118"/>
      <c r="L156" s="118"/>
      <c r="M156" s="118"/>
      <c r="N156" s="118"/>
      <c r="O156" s="118"/>
      <c r="P156" s="118"/>
      <c r="Q156" s="118"/>
      <c r="R156" s="118"/>
      <c r="S156" s="6"/>
    </row>
    <row r="157" spans="1:19" x14ac:dyDescent="0.25">
      <c r="A157" s="128"/>
      <c r="B157" s="118"/>
      <c r="C157" s="118"/>
      <c r="D157" s="118"/>
      <c r="E157" s="118"/>
      <c r="F157" s="118"/>
      <c r="G157" s="118"/>
      <c r="H157" s="118"/>
      <c r="I157" s="118"/>
      <c r="J157" s="118"/>
      <c r="K157" s="118"/>
      <c r="L157" s="118"/>
      <c r="M157" s="118"/>
      <c r="N157" s="118"/>
      <c r="O157" s="118"/>
      <c r="P157" s="118"/>
      <c r="Q157" s="118"/>
      <c r="R157" s="118"/>
      <c r="S157" s="6"/>
    </row>
    <row r="158" spans="1:19" x14ac:dyDescent="0.25">
      <c r="A158" s="128"/>
      <c r="B158" s="118"/>
      <c r="C158" s="118"/>
      <c r="D158" s="118"/>
      <c r="E158" s="118"/>
      <c r="F158" s="118"/>
      <c r="G158" s="118"/>
      <c r="H158" s="118"/>
      <c r="I158" s="118"/>
      <c r="J158" s="118"/>
      <c r="K158" s="118"/>
      <c r="L158" s="118"/>
      <c r="M158" s="118"/>
      <c r="N158" s="118"/>
      <c r="O158" s="118"/>
      <c r="P158" s="118"/>
      <c r="Q158" s="118"/>
      <c r="R158" s="118"/>
      <c r="S158" s="6"/>
    </row>
    <row r="159" spans="1:19" x14ac:dyDescent="0.25">
      <c r="A159" s="128"/>
      <c r="B159" s="118"/>
      <c r="C159" s="118"/>
      <c r="D159" s="118"/>
      <c r="E159" s="118"/>
      <c r="F159" s="118"/>
      <c r="G159" s="118"/>
      <c r="H159" s="118"/>
      <c r="I159" s="118"/>
      <c r="J159" s="118"/>
      <c r="K159" s="118"/>
      <c r="L159" s="118"/>
      <c r="M159" s="118"/>
      <c r="N159" s="118"/>
      <c r="O159" s="118"/>
      <c r="P159" s="118"/>
      <c r="Q159" s="118"/>
      <c r="R159" s="118"/>
      <c r="S159" s="6"/>
    </row>
    <row r="160" spans="1:19" x14ac:dyDescent="0.25">
      <c r="A160" s="128"/>
      <c r="B160" s="118"/>
      <c r="C160" s="118"/>
      <c r="D160" s="118"/>
      <c r="E160" s="118"/>
      <c r="F160" s="118"/>
      <c r="G160" s="118"/>
      <c r="H160" s="118"/>
      <c r="I160" s="118"/>
      <c r="J160" s="118"/>
      <c r="K160" s="118"/>
      <c r="L160" s="118"/>
      <c r="M160" s="118"/>
      <c r="N160" s="118"/>
      <c r="O160" s="118"/>
      <c r="P160" s="118"/>
      <c r="Q160" s="118"/>
      <c r="R160" s="118"/>
      <c r="S160" s="6"/>
    </row>
    <row r="161" spans="1:19" x14ac:dyDescent="0.25">
      <c r="A161" s="128"/>
      <c r="B161" s="118"/>
      <c r="C161" s="118"/>
      <c r="D161" s="118"/>
      <c r="E161" s="118"/>
      <c r="F161" s="118"/>
      <c r="G161" s="118"/>
      <c r="H161" s="118"/>
      <c r="I161" s="118"/>
      <c r="J161" s="118"/>
      <c r="K161" s="118"/>
      <c r="L161" s="118"/>
      <c r="M161" s="118"/>
      <c r="N161" s="118"/>
      <c r="O161" s="118"/>
      <c r="P161" s="118"/>
      <c r="Q161" s="118"/>
      <c r="R161" s="118"/>
      <c r="S161" s="6"/>
    </row>
    <row r="162" spans="1:19" x14ac:dyDescent="0.25">
      <c r="A162" s="128"/>
      <c r="B162" s="118"/>
      <c r="C162" s="118"/>
      <c r="D162" s="118"/>
      <c r="E162" s="118"/>
      <c r="F162" s="118"/>
      <c r="G162" s="118"/>
      <c r="H162" s="118"/>
      <c r="I162" s="118"/>
      <c r="J162" s="118"/>
      <c r="K162" s="118"/>
      <c r="L162" s="118"/>
      <c r="M162" s="118"/>
      <c r="N162" s="118"/>
      <c r="O162" s="118"/>
      <c r="P162" s="118"/>
      <c r="Q162" s="118"/>
      <c r="R162" s="118"/>
      <c r="S162" s="6"/>
    </row>
    <row r="163" spans="1:19" x14ac:dyDescent="0.25">
      <c r="A163" s="128"/>
      <c r="B163" s="118"/>
      <c r="C163" s="118"/>
      <c r="D163" s="118"/>
      <c r="E163" s="118"/>
      <c r="F163" s="118"/>
      <c r="G163" s="118"/>
      <c r="H163" s="118"/>
      <c r="I163" s="118"/>
      <c r="J163" s="118"/>
      <c r="K163" s="118"/>
      <c r="L163" s="118"/>
      <c r="M163" s="118"/>
      <c r="N163" s="118"/>
      <c r="O163" s="118"/>
      <c r="P163" s="118"/>
      <c r="Q163" s="118"/>
      <c r="R163" s="118"/>
      <c r="S163" s="6"/>
    </row>
    <row r="164" spans="1:19" x14ac:dyDescent="0.25">
      <c r="A164" s="128"/>
      <c r="B164" s="118"/>
      <c r="C164" s="118"/>
      <c r="D164" s="118"/>
      <c r="E164" s="118"/>
      <c r="F164" s="118"/>
      <c r="G164" s="118"/>
      <c r="H164" s="118"/>
      <c r="I164" s="118"/>
      <c r="J164" s="118"/>
      <c r="K164" s="118"/>
      <c r="L164" s="118"/>
      <c r="M164" s="118"/>
      <c r="N164" s="118"/>
      <c r="O164" s="118"/>
      <c r="P164" s="118"/>
      <c r="Q164" s="118"/>
      <c r="R164" s="118"/>
      <c r="S164" s="6"/>
    </row>
    <row r="165" spans="1:19" x14ac:dyDescent="0.25">
      <c r="A165" s="128"/>
      <c r="B165" s="118"/>
      <c r="C165" s="118"/>
      <c r="D165" s="118"/>
      <c r="E165" s="118"/>
      <c r="F165" s="118"/>
      <c r="G165" s="118"/>
      <c r="H165" s="118"/>
      <c r="I165" s="118"/>
      <c r="J165" s="118"/>
      <c r="K165" s="118"/>
      <c r="L165" s="118"/>
      <c r="M165" s="118"/>
      <c r="N165" s="118"/>
      <c r="O165" s="118"/>
      <c r="P165" s="118"/>
      <c r="Q165" s="118"/>
      <c r="R165" s="118"/>
      <c r="S165" s="6"/>
    </row>
    <row r="166" spans="1:19" x14ac:dyDescent="0.25">
      <c r="A166" s="128"/>
      <c r="B166" s="118"/>
      <c r="C166" s="118"/>
      <c r="D166" s="118"/>
      <c r="E166" s="118"/>
      <c r="F166" s="118"/>
      <c r="G166" s="118"/>
      <c r="H166" s="118"/>
      <c r="I166" s="118"/>
      <c r="J166" s="118"/>
      <c r="K166" s="118"/>
      <c r="L166" s="118"/>
      <c r="M166" s="118"/>
      <c r="N166" s="118"/>
      <c r="O166" s="118"/>
      <c r="P166" s="118"/>
      <c r="Q166" s="118"/>
      <c r="R166" s="118"/>
      <c r="S166" s="6"/>
    </row>
    <row r="167" spans="1:19" x14ac:dyDescent="0.25">
      <c r="A167" s="128"/>
      <c r="B167" s="118"/>
      <c r="C167" s="118"/>
      <c r="D167" s="118"/>
      <c r="E167" s="118"/>
      <c r="F167" s="118"/>
      <c r="G167" s="118"/>
      <c r="H167" s="118"/>
      <c r="I167" s="118"/>
      <c r="J167" s="118"/>
      <c r="K167" s="118"/>
      <c r="L167" s="118"/>
      <c r="M167" s="118"/>
      <c r="N167" s="118"/>
      <c r="O167" s="118"/>
      <c r="P167" s="118"/>
      <c r="Q167" s="118"/>
      <c r="R167" s="118"/>
      <c r="S167" s="6"/>
    </row>
    <row r="168" spans="1:19" x14ac:dyDescent="0.25">
      <c r="A168" s="128"/>
      <c r="B168" s="118"/>
      <c r="C168" s="118"/>
      <c r="D168" s="118"/>
      <c r="E168" s="118"/>
      <c r="F168" s="118"/>
      <c r="G168" s="118"/>
      <c r="H168" s="118"/>
      <c r="I168" s="118"/>
      <c r="J168" s="118"/>
      <c r="K168" s="118"/>
      <c r="L168" s="118"/>
      <c r="M168" s="118"/>
      <c r="N168" s="118"/>
      <c r="O168" s="118"/>
      <c r="P168" s="118"/>
      <c r="Q168" s="118"/>
      <c r="R168" s="118"/>
      <c r="S168" s="6"/>
    </row>
    <row r="169" spans="1:19" x14ac:dyDescent="0.25">
      <c r="A169" s="128"/>
      <c r="B169" s="118"/>
      <c r="C169" s="118"/>
      <c r="D169" s="118"/>
      <c r="E169" s="118"/>
      <c r="F169" s="118"/>
      <c r="G169" s="118"/>
      <c r="H169" s="118"/>
      <c r="I169" s="118"/>
      <c r="J169" s="118"/>
      <c r="K169" s="118"/>
      <c r="L169" s="118"/>
      <c r="M169" s="118"/>
      <c r="N169" s="118"/>
      <c r="O169" s="118"/>
      <c r="P169" s="118"/>
      <c r="Q169" s="118"/>
      <c r="R169" s="118"/>
      <c r="S169" s="6"/>
    </row>
    <row r="170" spans="1:19" x14ac:dyDescent="0.25">
      <c r="A170" s="128"/>
      <c r="B170" s="118"/>
      <c r="C170" s="118"/>
      <c r="D170" s="118"/>
      <c r="E170" s="118"/>
      <c r="F170" s="118"/>
      <c r="G170" s="118"/>
      <c r="H170" s="118"/>
      <c r="I170" s="118"/>
      <c r="J170" s="118"/>
      <c r="K170" s="118"/>
      <c r="L170" s="118"/>
      <c r="M170" s="118"/>
      <c r="N170" s="118"/>
      <c r="O170" s="118"/>
      <c r="P170" s="118"/>
      <c r="Q170" s="118"/>
      <c r="R170" s="118"/>
      <c r="S170" s="6"/>
    </row>
    <row r="171" spans="1:19" x14ac:dyDescent="0.25">
      <c r="A171" s="128"/>
      <c r="B171" s="118"/>
      <c r="C171" s="118"/>
      <c r="D171" s="118"/>
      <c r="E171" s="118"/>
      <c r="F171" s="118"/>
      <c r="G171" s="118"/>
      <c r="H171" s="118"/>
      <c r="I171" s="118"/>
      <c r="J171" s="118"/>
      <c r="K171" s="118"/>
      <c r="L171" s="118"/>
      <c r="M171" s="118"/>
      <c r="N171" s="118"/>
      <c r="O171" s="118"/>
      <c r="P171" s="118"/>
      <c r="Q171" s="118"/>
      <c r="R171" s="118"/>
      <c r="S171" s="6"/>
    </row>
    <row r="172" spans="1:19" x14ac:dyDescent="0.25">
      <c r="A172" s="128"/>
      <c r="B172" s="118"/>
      <c r="C172" s="118"/>
      <c r="D172" s="118"/>
      <c r="E172" s="118"/>
      <c r="F172" s="118"/>
      <c r="G172" s="118"/>
      <c r="H172" s="118"/>
      <c r="I172" s="118"/>
      <c r="J172" s="118"/>
      <c r="K172" s="118"/>
      <c r="L172" s="118"/>
      <c r="M172" s="118"/>
      <c r="N172" s="118"/>
      <c r="O172" s="118"/>
      <c r="P172" s="118"/>
      <c r="Q172" s="118"/>
      <c r="R172" s="118"/>
      <c r="S172" s="6"/>
    </row>
    <row r="173" spans="1:19" x14ac:dyDescent="0.25">
      <c r="A173" s="128"/>
      <c r="B173" s="118"/>
      <c r="C173" s="118"/>
      <c r="D173" s="118"/>
      <c r="E173" s="118"/>
      <c r="F173" s="118"/>
      <c r="G173" s="118"/>
      <c r="H173" s="118"/>
      <c r="I173" s="118"/>
      <c r="J173" s="118"/>
      <c r="K173" s="118"/>
      <c r="L173" s="118"/>
      <c r="M173" s="118"/>
      <c r="N173" s="118"/>
      <c r="O173" s="118"/>
      <c r="P173" s="118"/>
      <c r="Q173" s="118"/>
      <c r="R173" s="118"/>
      <c r="S173" s="6"/>
    </row>
    <row r="174" spans="1:19" x14ac:dyDescent="0.25">
      <c r="A174" s="128"/>
      <c r="B174" s="118"/>
      <c r="C174" s="118"/>
      <c r="D174" s="118"/>
      <c r="E174" s="118"/>
      <c r="F174" s="118"/>
      <c r="G174" s="118"/>
      <c r="H174" s="118"/>
      <c r="I174" s="118"/>
      <c r="J174" s="118"/>
      <c r="K174" s="118"/>
      <c r="L174" s="118"/>
      <c r="M174" s="118"/>
      <c r="N174" s="118"/>
      <c r="O174" s="118"/>
      <c r="P174" s="118"/>
      <c r="Q174" s="118"/>
      <c r="R174" s="118"/>
      <c r="S174" s="6"/>
    </row>
    <row r="175" spans="1:19" x14ac:dyDescent="0.25">
      <c r="A175" s="128"/>
      <c r="B175" s="118"/>
      <c r="C175" s="118"/>
      <c r="D175" s="118"/>
      <c r="E175" s="118"/>
      <c r="F175" s="118"/>
      <c r="G175" s="118"/>
      <c r="H175" s="118"/>
      <c r="I175" s="118"/>
      <c r="J175" s="118"/>
      <c r="K175" s="118"/>
      <c r="L175" s="118"/>
      <c r="M175" s="118"/>
      <c r="N175" s="118"/>
      <c r="O175" s="118"/>
      <c r="P175" s="118"/>
      <c r="Q175" s="118"/>
      <c r="R175" s="118"/>
      <c r="S175" s="6"/>
    </row>
    <row r="176" spans="1:19" x14ac:dyDescent="0.25">
      <c r="A176" s="128"/>
      <c r="B176" s="118"/>
      <c r="C176" s="118"/>
      <c r="D176" s="118"/>
      <c r="E176" s="118"/>
      <c r="F176" s="118"/>
      <c r="G176" s="118"/>
      <c r="H176" s="118"/>
      <c r="I176" s="118"/>
      <c r="J176" s="118"/>
      <c r="K176" s="118"/>
      <c r="L176" s="118"/>
      <c r="M176" s="118"/>
      <c r="N176" s="118"/>
      <c r="O176" s="118"/>
      <c r="P176" s="118"/>
      <c r="Q176" s="118"/>
      <c r="R176" s="118"/>
      <c r="S176" s="6"/>
    </row>
    <row r="177" spans="1:19" x14ac:dyDescent="0.25">
      <c r="A177" s="5"/>
      <c r="S177" s="6"/>
    </row>
    <row r="178" spans="1:19" x14ac:dyDescent="0.25">
      <c r="A178" s="5"/>
      <c r="S178" s="6"/>
    </row>
    <row r="179" spans="1:19" x14ac:dyDescent="0.25">
      <c r="A179" s="5"/>
      <c r="S179" s="6"/>
    </row>
    <row r="180" spans="1:19" x14ac:dyDescent="0.25">
      <c r="A180" s="7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9"/>
    </row>
    <row r="181" spans="1:19" x14ac:dyDescent="0.25">
      <c r="A181" s="1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4"/>
    </row>
    <row r="182" spans="1:19" ht="15" customHeight="1" x14ac:dyDescent="0.25">
      <c r="A182" s="14"/>
      <c r="B182" s="126" t="s">
        <v>3</v>
      </c>
      <c r="C182" s="126"/>
      <c r="D182" s="126"/>
      <c r="E182" s="126"/>
      <c r="F182" s="126"/>
      <c r="G182" s="126"/>
      <c r="H182" s="126"/>
      <c r="I182" s="126"/>
      <c r="J182" s="126"/>
      <c r="K182" s="126"/>
      <c r="L182" s="126"/>
      <c r="M182" s="126"/>
      <c r="N182" s="126"/>
      <c r="O182" s="126"/>
      <c r="P182" s="126"/>
      <c r="Q182" s="126"/>
      <c r="R182" s="126"/>
      <c r="S182" s="6"/>
    </row>
    <row r="183" spans="1:19" ht="15" customHeight="1" x14ac:dyDescent="0.25">
      <c r="A183" s="14"/>
      <c r="B183" s="126"/>
      <c r="C183" s="126"/>
      <c r="D183" s="126"/>
      <c r="E183" s="126"/>
      <c r="F183" s="126"/>
      <c r="G183" s="126"/>
      <c r="H183" s="126"/>
      <c r="I183" s="126"/>
      <c r="J183" s="126"/>
      <c r="K183" s="126"/>
      <c r="L183" s="126"/>
      <c r="M183" s="126"/>
      <c r="N183" s="126"/>
      <c r="O183" s="126"/>
      <c r="P183" s="126"/>
      <c r="Q183" s="126"/>
      <c r="R183" s="126"/>
      <c r="S183" s="6"/>
    </row>
    <row r="184" spans="1:19" ht="15" customHeight="1" x14ac:dyDescent="0.25">
      <c r="A184" s="14"/>
      <c r="B184" s="126"/>
      <c r="C184" s="126"/>
      <c r="D184" s="126"/>
      <c r="E184" s="126"/>
      <c r="F184" s="126"/>
      <c r="G184" s="126"/>
      <c r="H184" s="126"/>
      <c r="I184" s="126"/>
      <c r="J184" s="126"/>
      <c r="K184" s="126"/>
      <c r="L184" s="126"/>
      <c r="M184" s="126"/>
      <c r="N184" s="126"/>
      <c r="O184" s="126"/>
      <c r="P184" s="126"/>
      <c r="Q184" s="126"/>
      <c r="R184" s="126"/>
      <c r="S184" s="6"/>
    </row>
    <row r="185" spans="1:19" ht="15" customHeight="1" x14ac:dyDescent="0.25">
      <c r="A185" s="138"/>
      <c r="B185" s="121">
        <v>5</v>
      </c>
      <c r="C185" s="139" t="str">
        <f>T6 &amp; " - DADOS DE REFERÊNCIA"</f>
        <v>MQB_A1 - 5Q0.803.107 - DADOS DE REFERÊNCIA</v>
      </c>
      <c r="D185" s="139"/>
      <c r="E185" s="139"/>
      <c r="F185" s="139"/>
      <c r="G185" s="139"/>
      <c r="H185" s="139"/>
      <c r="I185" s="139"/>
      <c r="J185" s="139"/>
      <c r="K185" s="139"/>
      <c r="L185" s="139"/>
      <c r="M185" s="139"/>
      <c r="N185" s="139"/>
      <c r="O185" s="139"/>
      <c r="P185" s="139"/>
      <c r="Q185" s="139"/>
      <c r="R185" s="139"/>
      <c r="S185" s="6"/>
    </row>
    <row r="186" spans="1:19" ht="15" customHeight="1" x14ac:dyDescent="0.25">
      <c r="A186" s="138"/>
      <c r="B186" s="121"/>
      <c r="C186" s="139"/>
      <c r="D186" s="139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6"/>
    </row>
    <row r="187" spans="1:19" ht="15" customHeight="1" x14ac:dyDescent="0.25">
      <c r="A187" s="138"/>
      <c r="B187" s="121"/>
      <c r="C187" s="139"/>
      <c r="D187" s="139"/>
      <c r="E187" s="139"/>
      <c r="F187" s="139"/>
      <c r="G187" s="139"/>
      <c r="H187" s="139"/>
      <c r="I187" s="139"/>
      <c r="J187" s="139"/>
      <c r="K187" s="139"/>
      <c r="L187" s="139"/>
      <c r="M187" s="139"/>
      <c r="N187" s="139"/>
      <c r="O187" s="139"/>
      <c r="P187" s="139"/>
      <c r="Q187" s="139"/>
      <c r="R187" s="139"/>
      <c r="S187" s="6"/>
    </row>
    <row r="188" spans="1:19" x14ac:dyDescent="0.25">
      <c r="A188" s="15"/>
      <c r="S188" s="6"/>
    </row>
    <row r="189" spans="1:19" ht="15" customHeight="1" x14ac:dyDescent="0.25">
      <c r="A189" s="128" t="s">
        <v>146</v>
      </c>
      <c r="B189" s="118"/>
      <c r="C189" s="118"/>
      <c r="D189" s="118"/>
      <c r="E189" s="118"/>
      <c r="F189" s="118"/>
      <c r="G189" s="118"/>
      <c r="H189" s="118"/>
      <c r="I189" s="118"/>
      <c r="J189" s="118"/>
      <c r="K189" s="118"/>
      <c r="L189" s="118"/>
      <c r="M189" s="118"/>
      <c r="N189" s="118"/>
      <c r="O189" s="118"/>
      <c r="P189" s="118"/>
      <c r="Q189" s="118"/>
      <c r="R189" s="118"/>
      <c r="S189" s="6"/>
    </row>
    <row r="190" spans="1:19" x14ac:dyDescent="0.25">
      <c r="A190" s="128"/>
      <c r="B190" s="118"/>
      <c r="C190" s="118"/>
      <c r="D190" s="118"/>
      <c r="E190" s="118"/>
      <c r="F190" s="118"/>
      <c r="G190" s="118"/>
      <c r="H190" s="118"/>
      <c r="I190" s="118"/>
      <c r="J190" s="118"/>
      <c r="K190" s="118"/>
      <c r="L190" s="118"/>
      <c r="M190" s="118"/>
      <c r="N190" s="118"/>
      <c r="O190" s="118"/>
      <c r="P190" s="118"/>
      <c r="Q190" s="118"/>
      <c r="R190" s="118"/>
      <c r="S190" s="6"/>
    </row>
    <row r="191" spans="1:19" x14ac:dyDescent="0.25">
      <c r="A191" s="128"/>
      <c r="B191" s="118"/>
      <c r="C191" s="118"/>
      <c r="D191" s="118"/>
      <c r="E191" s="118"/>
      <c r="F191" s="118"/>
      <c r="G191" s="118"/>
      <c r="H191" s="118"/>
      <c r="I191" s="118"/>
      <c r="J191" s="118"/>
      <c r="K191" s="118"/>
      <c r="L191" s="118"/>
      <c r="M191" s="118"/>
      <c r="N191" s="118"/>
      <c r="O191" s="118"/>
      <c r="P191" s="118"/>
      <c r="Q191" s="118"/>
      <c r="R191" s="118"/>
      <c r="S191" s="6"/>
    </row>
    <row r="192" spans="1:19" x14ac:dyDescent="0.25">
      <c r="A192" s="128"/>
      <c r="B192" s="118"/>
      <c r="C192" s="118"/>
      <c r="D192" s="118"/>
      <c r="E192" s="118"/>
      <c r="F192" s="118"/>
      <c r="G192" s="118"/>
      <c r="H192" s="118"/>
      <c r="I192" s="118"/>
      <c r="J192" s="118"/>
      <c r="K192" s="118"/>
      <c r="L192" s="118"/>
      <c r="M192" s="118"/>
      <c r="N192" s="118"/>
      <c r="O192" s="118"/>
      <c r="P192" s="118"/>
      <c r="Q192" s="118"/>
      <c r="R192" s="118"/>
      <c r="S192" s="6"/>
    </row>
    <row r="193" spans="1:19" x14ac:dyDescent="0.25">
      <c r="A193" s="128"/>
      <c r="B193" s="118"/>
      <c r="C193" s="118"/>
      <c r="D193" s="118"/>
      <c r="E193" s="118"/>
      <c r="F193" s="118"/>
      <c r="G193" s="118"/>
      <c r="H193" s="118"/>
      <c r="I193" s="118"/>
      <c r="J193" s="118"/>
      <c r="K193" s="118"/>
      <c r="L193" s="118"/>
      <c r="M193" s="118"/>
      <c r="N193" s="118"/>
      <c r="O193" s="118"/>
      <c r="P193" s="118"/>
      <c r="Q193" s="118"/>
      <c r="R193" s="118"/>
      <c r="S193" s="6"/>
    </row>
    <row r="194" spans="1:19" x14ac:dyDescent="0.25">
      <c r="A194" s="128"/>
      <c r="B194" s="118"/>
      <c r="C194" s="118"/>
      <c r="D194" s="118"/>
      <c r="E194" s="118"/>
      <c r="F194" s="118"/>
      <c r="G194" s="118"/>
      <c r="H194" s="118"/>
      <c r="I194" s="118"/>
      <c r="J194" s="118"/>
      <c r="K194" s="118"/>
      <c r="L194" s="118"/>
      <c r="M194" s="118"/>
      <c r="N194" s="118"/>
      <c r="O194" s="118"/>
      <c r="P194" s="118"/>
      <c r="Q194" s="118"/>
      <c r="R194" s="118"/>
      <c r="S194" s="6"/>
    </row>
    <row r="195" spans="1:19" x14ac:dyDescent="0.25">
      <c r="A195" s="128"/>
      <c r="B195" s="118"/>
      <c r="C195" s="118"/>
      <c r="D195" s="118"/>
      <c r="E195" s="118"/>
      <c r="F195" s="118"/>
      <c r="G195" s="118"/>
      <c r="H195" s="118"/>
      <c r="I195" s="118"/>
      <c r="J195" s="118"/>
      <c r="K195" s="118"/>
      <c r="L195" s="118"/>
      <c r="M195" s="118"/>
      <c r="N195" s="118"/>
      <c r="O195" s="118"/>
      <c r="P195" s="118"/>
      <c r="Q195" s="118"/>
      <c r="R195" s="118"/>
      <c r="S195" s="6"/>
    </row>
    <row r="196" spans="1:19" x14ac:dyDescent="0.25">
      <c r="A196" s="128"/>
      <c r="B196" s="118"/>
      <c r="C196" s="118"/>
      <c r="D196" s="118"/>
      <c r="E196" s="118"/>
      <c r="F196" s="118"/>
      <c r="G196" s="118"/>
      <c r="H196" s="118"/>
      <c r="I196" s="118"/>
      <c r="J196" s="118"/>
      <c r="K196" s="118"/>
      <c r="L196" s="118"/>
      <c r="M196" s="118"/>
      <c r="N196" s="118"/>
      <c r="O196" s="118"/>
      <c r="P196" s="118"/>
      <c r="Q196" s="118"/>
      <c r="R196" s="118"/>
      <c r="S196" s="6"/>
    </row>
    <row r="197" spans="1:19" x14ac:dyDescent="0.25">
      <c r="A197" s="128"/>
      <c r="B197" s="118"/>
      <c r="C197" s="118"/>
      <c r="D197" s="118"/>
      <c r="E197" s="118"/>
      <c r="F197" s="118"/>
      <c r="G197" s="118"/>
      <c r="H197" s="118"/>
      <c r="I197" s="118"/>
      <c r="J197" s="118"/>
      <c r="K197" s="118"/>
      <c r="L197" s="118"/>
      <c r="M197" s="118"/>
      <c r="N197" s="118"/>
      <c r="O197" s="118"/>
      <c r="P197" s="118"/>
      <c r="Q197" s="118"/>
      <c r="R197" s="118"/>
      <c r="S197" s="6"/>
    </row>
    <row r="198" spans="1:19" x14ac:dyDescent="0.25">
      <c r="A198" s="128"/>
      <c r="B198" s="118"/>
      <c r="C198" s="118"/>
      <c r="D198" s="118"/>
      <c r="E198" s="118"/>
      <c r="F198" s="118"/>
      <c r="G198" s="118"/>
      <c r="H198" s="118"/>
      <c r="I198" s="118"/>
      <c r="J198" s="118"/>
      <c r="K198" s="118"/>
      <c r="L198" s="118"/>
      <c r="M198" s="118"/>
      <c r="N198" s="118"/>
      <c r="O198" s="118"/>
      <c r="P198" s="118"/>
      <c r="Q198" s="118"/>
      <c r="R198" s="118"/>
      <c r="S198" s="6"/>
    </row>
    <row r="199" spans="1:19" x14ac:dyDescent="0.25">
      <c r="A199" s="128"/>
      <c r="B199" s="118"/>
      <c r="C199" s="118"/>
      <c r="D199" s="118"/>
      <c r="E199" s="118"/>
      <c r="F199" s="118"/>
      <c r="G199" s="118"/>
      <c r="H199" s="118"/>
      <c r="I199" s="118"/>
      <c r="J199" s="118"/>
      <c r="K199" s="118"/>
      <c r="L199" s="118"/>
      <c r="M199" s="118"/>
      <c r="N199" s="118"/>
      <c r="O199" s="118"/>
      <c r="P199" s="118"/>
      <c r="Q199" s="118"/>
      <c r="R199" s="118"/>
      <c r="S199" s="6"/>
    </row>
    <row r="200" spans="1:19" x14ac:dyDescent="0.25">
      <c r="A200" s="128"/>
      <c r="B200" s="118"/>
      <c r="C200" s="118"/>
      <c r="D200" s="118"/>
      <c r="E200" s="118"/>
      <c r="F200" s="118"/>
      <c r="G200" s="118"/>
      <c r="H200" s="118"/>
      <c r="I200" s="118"/>
      <c r="J200" s="118"/>
      <c r="K200" s="118"/>
      <c r="L200" s="118"/>
      <c r="M200" s="118"/>
      <c r="N200" s="118"/>
      <c r="O200" s="118"/>
      <c r="P200" s="118"/>
      <c r="Q200" s="118"/>
      <c r="R200" s="118"/>
      <c r="S200" s="6"/>
    </row>
    <row r="201" spans="1:19" x14ac:dyDescent="0.25">
      <c r="A201" s="128"/>
      <c r="B201" s="118"/>
      <c r="C201" s="118"/>
      <c r="D201" s="118"/>
      <c r="E201" s="118"/>
      <c r="F201" s="118"/>
      <c r="G201" s="118"/>
      <c r="H201" s="118"/>
      <c r="I201" s="118"/>
      <c r="J201" s="118"/>
      <c r="K201" s="118"/>
      <c r="L201" s="118"/>
      <c r="M201" s="118"/>
      <c r="N201" s="118"/>
      <c r="O201" s="118"/>
      <c r="P201" s="118"/>
      <c r="Q201" s="118"/>
      <c r="R201" s="118"/>
      <c r="S201" s="6"/>
    </row>
    <row r="202" spans="1:19" x14ac:dyDescent="0.25">
      <c r="A202" s="128"/>
      <c r="B202" s="118"/>
      <c r="C202" s="118"/>
      <c r="D202" s="118"/>
      <c r="E202" s="118"/>
      <c r="F202" s="118"/>
      <c r="G202" s="118"/>
      <c r="H202" s="118"/>
      <c r="I202" s="118"/>
      <c r="J202" s="118"/>
      <c r="K202" s="118"/>
      <c r="L202" s="118"/>
      <c r="M202" s="118"/>
      <c r="N202" s="118"/>
      <c r="O202" s="118"/>
      <c r="P202" s="118"/>
      <c r="Q202" s="118"/>
      <c r="R202" s="118"/>
      <c r="S202" s="6"/>
    </row>
    <row r="203" spans="1:19" x14ac:dyDescent="0.25">
      <c r="A203" s="128"/>
      <c r="B203" s="118"/>
      <c r="C203" s="118"/>
      <c r="D203" s="118"/>
      <c r="E203" s="118"/>
      <c r="F203" s="118"/>
      <c r="G203" s="118"/>
      <c r="H203" s="118"/>
      <c r="I203" s="118"/>
      <c r="J203" s="118"/>
      <c r="K203" s="118"/>
      <c r="L203" s="118"/>
      <c r="M203" s="118"/>
      <c r="N203" s="118"/>
      <c r="O203" s="118"/>
      <c r="P203" s="118"/>
      <c r="Q203" s="118"/>
      <c r="R203" s="118"/>
      <c r="S203" s="6"/>
    </row>
    <row r="204" spans="1:19" x14ac:dyDescent="0.25">
      <c r="A204" s="128"/>
      <c r="B204" s="118"/>
      <c r="C204" s="118"/>
      <c r="D204" s="118"/>
      <c r="E204" s="118"/>
      <c r="F204" s="118"/>
      <c r="G204" s="118"/>
      <c r="H204" s="118"/>
      <c r="I204" s="118"/>
      <c r="J204" s="118"/>
      <c r="K204" s="118"/>
      <c r="L204" s="118"/>
      <c r="M204" s="118"/>
      <c r="N204" s="118"/>
      <c r="O204" s="118"/>
      <c r="P204" s="118"/>
      <c r="Q204" s="118"/>
      <c r="R204" s="118"/>
      <c r="S204" s="6"/>
    </row>
    <row r="205" spans="1:19" x14ac:dyDescent="0.25">
      <c r="A205" s="128"/>
      <c r="B205" s="118"/>
      <c r="C205" s="118"/>
      <c r="D205" s="118"/>
      <c r="E205" s="118"/>
      <c r="F205" s="118"/>
      <c r="G205" s="118"/>
      <c r="H205" s="118"/>
      <c r="I205" s="118"/>
      <c r="J205" s="118"/>
      <c r="K205" s="118"/>
      <c r="L205" s="118"/>
      <c r="M205" s="118"/>
      <c r="N205" s="118"/>
      <c r="O205" s="118"/>
      <c r="P205" s="118"/>
      <c r="Q205" s="118"/>
      <c r="R205" s="118"/>
      <c r="S205" s="6"/>
    </row>
    <row r="206" spans="1:19" x14ac:dyDescent="0.25">
      <c r="A206" s="128"/>
      <c r="B206" s="118"/>
      <c r="C206" s="118"/>
      <c r="D206" s="118"/>
      <c r="E206" s="118"/>
      <c r="F206" s="118"/>
      <c r="G206" s="118"/>
      <c r="H206" s="118"/>
      <c r="I206" s="118"/>
      <c r="J206" s="118"/>
      <c r="K206" s="118"/>
      <c r="L206" s="118"/>
      <c r="M206" s="118"/>
      <c r="N206" s="118"/>
      <c r="O206" s="118"/>
      <c r="P206" s="118"/>
      <c r="Q206" s="118"/>
      <c r="R206" s="118"/>
      <c r="S206" s="6"/>
    </row>
    <row r="207" spans="1:19" x14ac:dyDescent="0.25">
      <c r="A207" s="128"/>
      <c r="B207" s="118"/>
      <c r="C207" s="118"/>
      <c r="D207" s="118"/>
      <c r="E207" s="118"/>
      <c r="F207" s="118"/>
      <c r="G207" s="118"/>
      <c r="H207" s="118"/>
      <c r="I207" s="118"/>
      <c r="J207" s="118"/>
      <c r="K207" s="118"/>
      <c r="L207" s="118"/>
      <c r="M207" s="118"/>
      <c r="N207" s="118"/>
      <c r="O207" s="118"/>
      <c r="P207" s="118"/>
      <c r="Q207" s="118"/>
      <c r="R207" s="118"/>
      <c r="S207" s="6"/>
    </row>
    <row r="208" spans="1:19" x14ac:dyDescent="0.25">
      <c r="A208" s="128"/>
      <c r="B208" s="118"/>
      <c r="C208" s="118"/>
      <c r="D208" s="118"/>
      <c r="E208" s="118"/>
      <c r="F208" s="118"/>
      <c r="G208" s="118"/>
      <c r="H208" s="118"/>
      <c r="I208" s="118"/>
      <c r="J208" s="118"/>
      <c r="K208" s="118"/>
      <c r="L208" s="118"/>
      <c r="M208" s="118"/>
      <c r="N208" s="118"/>
      <c r="O208" s="118"/>
      <c r="P208" s="118"/>
      <c r="Q208" s="118"/>
      <c r="R208" s="118"/>
      <c r="S208" s="6"/>
    </row>
    <row r="209" spans="1:19" x14ac:dyDescent="0.25">
      <c r="A209" s="128"/>
      <c r="B209" s="118"/>
      <c r="C209" s="118"/>
      <c r="D209" s="118"/>
      <c r="E209" s="118"/>
      <c r="F209" s="118"/>
      <c r="G209" s="118"/>
      <c r="H209" s="118"/>
      <c r="I209" s="118"/>
      <c r="J209" s="118"/>
      <c r="K209" s="118"/>
      <c r="L209" s="118"/>
      <c r="M209" s="118"/>
      <c r="N209" s="118"/>
      <c r="O209" s="118"/>
      <c r="P209" s="118"/>
      <c r="Q209" s="118"/>
      <c r="R209" s="118"/>
      <c r="S209" s="6"/>
    </row>
    <row r="210" spans="1:19" x14ac:dyDescent="0.25">
      <c r="A210" s="128"/>
      <c r="B210" s="118"/>
      <c r="C210" s="118"/>
      <c r="D210" s="118"/>
      <c r="E210" s="118"/>
      <c r="F210" s="118"/>
      <c r="G210" s="118"/>
      <c r="H210" s="118"/>
      <c r="I210" s="118"/>
      <c r="J210" s="118"/>
      <c r="K210" s="118"/>
      <c r="L210" s="118"/>
      <c r="M210" s="118"/>
      <c r="N210" s="118"/>
      <c r="O210" s="118"/>
      <c r="P210" s="118"/>
      <c r="Q210" s="118"/>
      <c r="R210" s="118"/>
      <c r="S210" s="6"/>
    </row>
    <row r="211" spans="1:19" x14ac:dyDescent="0.25">
      <c r="A211" s="128"/>
      <c r="B211" s="118"/>
      <c r="C211" s="118"/>
      <c r="D211" s="118"/>
      <c r="E211" s="118"/>
      <c r="F211" s="118"/>
      <c r="G211" s="118"/>
      <c r="H211" s="118"/>
      <c r="I211" s="118"/>
      <c r="J211" s="118"/>
      <c r="K211" s="118"/>
      <c r="L211" s="118"/>
      <c r="M211" s="118"/>
      <c r="N211" s="118"/>
      <c r="O211" s="118"/>
      <c r="P211" s="118"/>
      <c r="Q211" s="118"/>
      <c r="R211" s="118"/>
      <c r="S211" s="6"/>
    </row>
    <row r="212" spans="1:19" x14ac:dyDescent="0.25">
      <c r="A212" s="128"/>
      <c r="B212" s="118"/>
      <c r="C212" s="118"/>
      <c r="D212" s="118"/>
      <c r="E212" s="118"/>
      <c r="F212" s="118"/>
      <c r="G212" s="118"/>
      <c r="H212" s="118"/>
      <c r="I212" s="118"/>
      <c r="J212" s="118"/>
      <c r="K212" s="118"/>
      <c r="L212" s="118"/>
      <c r="M212" s="118"/>
      <c r="N212" s="118"/>
      <c r="O212" s="118"/>
      <c r="P212" s="118"/>
      <c r="Q212" s="118"/>
      <c r="R212" s="118"/>
      <c r="S212" s="6"/>
    </row>
    <row r="213" spans="1:19" x14ac:dyDescent="0.25">
      <c r="A213" s="128"/>
      <c r="B213" s="118"/>
      <c r="C213" s="118"/>
      <c r="D213" s="118"/>
      <c r="E213" s="118"/>
      <c r="F213" s="118"/>
      <c r="G213" s="118"/>
      <c r="H213" s="118"/>
      <c r="I213" s="118"/>
      <c r="J213" s="118"/>
      <c r="K213" s="118"/>
      <c r="L213" s="118"/>
      <c r="M213" s="118"/>
      <c r="N213" s="118"/>
      <c r="O213" s="118"/>
      <c r="P213" s="118"/>
      <c r="Q213" s="118"/>
      <c r="R213" s="118"/>
      <c r="S213" s="6"/>
    </row>
    <row r="214" spans="1:19" x14ac:dyDescent="0.25">
      <c r="A214" s="128"/>
      <c r="B214" s="118"/>
      <c r="C214" s="118"/>
      <c r="D214" s="118"/>
      <c r="E214" s="118"/>
      <c r="F214" s="118"/>
      <c r="G214" s="118"/>
      <c r="H214" s="118"/>
      <c r="I214" s="118"/>
      <c r="J214" s="118"/>
      <c r="K214" s="118"/>
      <c r="L214" s="118"/>
      <c r="M214" s="118"/>
      <c r="N214" s="118"/>
      <c r="O214" s="118"/>
      <c r="P214" s="118"/>
      <c r="Q214" s="118"/>
      <c r="R214" s="118"/>
      <c r="S214" s="6"/>
    </row>
    <row r="215" spans="1:19" x14ac:dyDescent="0.25">
      <c r="A215" s="128"/>
      <c r="B215" s="118"/>
      <c r="C215" s="118"/>
      <c r="D215" s="118"/>
      <c r="E215" s="118"/>
      <c r="F215" s="118"/>
      <c r="G215" s="118"/>
      <c r="H215" s="118"/>
      <c r="I215" s="118"/>
      <c r="J215" s="118"/>
      <c r="K215" s="118"/>
      <c r="L215" s="118"/>
      <c r="M215" s="118"/>
      <c r="N215" s="118"/>
      <c r="O215" s="118"/>
      <c r="P215" s="118"/>
      <c r="Q215" s="118"/>
      <c r="R215" s="118"/>
      <c r="S215" s="6"/>
    </row>
    <row r="216" spans="1:19" x14ac:dyDescent="0.25">
      <c r="A216" s="128"/>
      <c r="B216" s="118"/>
      <c r="C216" s="118"/>
      <c r="D216" s="118"/>
      <c r="E216" s="118"/>
      <c r="F216" s="118"/>
      <c r="G216" s="118"/>
      <c r="H216" s="118"/>
      <c r="I216" s="118"/>
      <c r="J216" s="118"/>
      <c r="K216" s="118"/>
      <c r="L216" s="118"/>
      <c r="M216" s="118"/>
      <c r="N216" s="118"/>
      <c r="O216" s="118"/>
      <c r="P216" s="118"/>
      <c r="Q216" s="118"/>
      <c r="R216" s="118"/>
      <c r="S216" s="6"/>
    </row>
    <row r="217" spans="1:19" x14ac:dyDescent="0.25">
      <c r="A217" s="128"/>
      <c r="B217" s="118"/>
      <c r="C217" s="118"/>
      <c r="D217" s="118"/>
      <c r="E217" s="118"/>
      <c r="F217" s="118"/>
      <c r="G217" s="118"/>
      <c r="H217" s="118"/>
      <c r="I217" s="118"/>
      <c r="J217" s="118"/>
      <c r="K217" s="118"/>
      <c r="L217" s="118"/>
      <c r="M217" s="118"/>
      <c r="N217" s="118"/>
      <c r="O217" s="118"/>
      <c r="P217" s="118"/>
      <c r="Q217" s="118"/>
      <c r="R217" s="118"/>
      <c r="S217" s="6"/>
    </row>
    <row r="218" spans="1:19" x14ac:dyDescent="0.25">
      <c r="A218" s="128"/>
      <c r="B218" s="118"/>
      <c r="C218" s="118"/>
      <c r="D218" s="118"/>
      <c r="E218" s="118"/>
      <c r="F218" s="118"/>
      <c r="G218" s="118"/>
      <c r="H218" s="118"/>
      <c r="I218" s="118"/>
      <c r="J218" s="118"/>
      <c r="K218" s="118"/>
      <c r="L218" s="118"/>
      <c r="M218" s="118"/>
      <c r="N218" s="118"/>
      <c r="O218" s="118"/>
      <c r="P218" s="118"/>
      <c r="Q218" s="118"/>
      <c r="R218" s="118"/>
      <c r="S218" s="6"/>
    </row>
    <row r="219" spans="1:19" x14ac:dyDescent="0.25">
      <c r="A219" s="128"/>
      <c r="B219" s="118"/>
      <c r="C219" s="118"/>
      <c r="D219" s="118"/>
      <c r="E219" s="118"/>
      <c r="F219" s="118"/>
      <c r="G219" s="118"/>
      <c r="H219" s="118"/>
      <c r="I219" s="118"/>
      <c r="J219" s="118"/>
      <c r="K219" s="118"/>
      <c r="L219" s="118"/>
      <c r="M219" s="118"/>
      <c r="N219" s="118"/>
      <c r="O219" s="118"/>
      <c r="P219" s="118"/>
      <c r="Q219" s="118"/>
      <c r="R219" s="118"/>
      <c r="S219" s="6"/>
    </row>
    <row r="220" spans="1:19" x14ac:dyDescent="0.25">
      <c r="A220" s="128"/>
      <c r="B220" s="118"/>
      <c r="C220" s="118"/>
      <c r="D220" s="118"/>
      <c r="E220" s="118"/>
      <c r="F220" s="118"/>
      <c r="G220" s="118"/>
      <c r="H220" s="118"/>
      <c r="I220" s="118"/>
      <c r="J220" s="118"/>
      <c r="K220" s="118"/>
      <c r="L220" s="118"/>
      <c r="M220" s="118"/>
      <c r="N220" s="118"/>
      <c r="O220" s="118"/>
      <c r="P220" s="118"/>
      <c r="Q220" s="118"/>
      <c r="R220" s="118"/>
      <c r="S220" s="6"/>
    </row>
    <row r="221" spans="1:19" x14ac:dyDescent="0.25">
      <c r="A221" s="128"/>
      <c r="B221" s="118"/>
      <c r="C221" s="118"/>
      <c r="D221" s="118"/>
      <c r="E221" s="118"/>
      <c r="F221" s="118"/>
      <c r="G221" s="118"/>
      <c r="H221" s="118"/>
      <c r="I221" s="118"/>
      <c r="J221" s="118"/>
      <c r="K221" s="118"/>
      <c r="L221" s="118"/>
      <c r="M221" s="118"/>
      <c r="N221" s="118"/>
      <c r="O221" s="118"/>
      <c r="P221" s="118"/>
      <c r="Q221" s="118"/>
      <c r="R221" s="118"/>
      <c r="S221" s="6"/>
    </row>
    <row r="222" spans="1:19" x14ac:dyDescent="0.25">
      <c r="A222" s="5"/>
      <c r="S222" s="6"/>
    </row>
    <row r="223" spans="1:19" x14ac:dyDescent="0.25">
      <c r="A223" s="5"/>
      <c r="S223" s="6"/>
    </row>
    <row r="224" spans="1:19" x14ac:dyDescent="0.25">
      <c r="A224" s="5"/>
      <c r="S224" s="6"/>
    </row>
    <row r="225" spans="1:19" x14ac:dyDescent="0.25">
      <c r="A225" s="7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9"/>
    </row>
    <row r="226" spans="1:19" x14ac:dyDescent="0.25">
      <c r="A226" s="1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4"/>
    </row>
    <row r="227" spans="1:19" ht="15" customHeight="1" x14ac:dyDescent="0.25">
      <c r="A227" s="14"/>
      <c r="B227" s="126" t="s">
        <v>3</v>
      </c>
      <c r="C227" s="126"/>
      <c r="D227" s="126"/>
      <c r="E227" s="126"/>
      <c r="F227" s="126"/>
      <c r="G227" s="126"/>
      <c r="H227" s="126"/>
      <c r="I227" s="126"/>
      <c r="J227" s="126"/>
      <c r="K227" s="126"/>
      <c r="L227" s="126"/>
      <c r="M227" s="126"/>
      <c r="N227" s="126"/>
      <c r="O227" s="126"/>
      <c r="P227" s="126"/>
      <c r="Q227" s="126"/>
      <c r="R227" s="126"/>
      <c r="S227" s="6"/>
    </row>
    <row r="228" spans="1:19" ht="15" customHeight="1" x14ac:dyDescent="0.25">
      <c r="A228" s="14"/>
      <c r="B228" s="126"/>
      <c r="C228" s="126"/>
      <c r="D228" s="126"/>
      <c r="E228" s="126"/>
      <c r="F228" s="126"/>
      <c r="G228" s="126"/>
      <c r="H228" s="126"/>
      <c r="I228" s="126"/>
      <c r="J228" s="126"/>
      <c r="K228" s="126"/>
      <c r="L228" s="126"/>
      <c r="M228" s="126"/>
      <c r="N228" s="126"/>
      <c r="O228" s="126"/>
      <c r="P228" s="126"/>
      <c r="Q228" s="126"/>
      <c r="R228" s="126"/>
      <c r="S228" s="6"/>
    </row>
    <row r="229" spans="1:19" ht="15" customHeight="1" x14ac:dyDescent="0.25">
      <c r="A229" s="14"/>
      <c r="B229" s="126"/>
      <c r="C229" s="126"/>
      <c r="D229" s="126"/>
      <c r="E229" s="126"/>
      <c r="F229" s="126"/>
      <c r="G229" s="126"/>
      <c r="H229" s="126"/>
      <c r="I229" s="126"/>
      <c r="J229" s="126"/>
      <c r="K229" s="126"/>
      <c r="L229" s="126"/>
      <c r="M229" s="126"/>
      <c r="N229" s="126"/>
      <c r="O229" s="126"/>
      <c r="P229" s="126"/>
      <c r="Q229" s="126"/>
      <c r="R229" s="126"/>
      <c r="S229" s="6"/>
    </row>
    <row r="230" spans="1:19" ht="15" customHeight="1" x14ac:dyDescent="0.25">
      <c r="A230" s="138"/>
      <c r="B230" s="121">
        <v>6</v>
      </c>
      <c r="C230" s="139" t="str">
        <f xml:space="preserve"> T6 &amp; " - MODELOS ESFEROVITE"</f>
        <v>MQB_A1 - 5Q0.803.107 - MODELOS ESFEROVITE</v>
      </c>
      <c r="D230" s="139"/>
      <c r="E230" s="139"/>
      <c r="F230" s="139"/>
      <c r="G230" s="139"/>
      <c r="H230" s="139"/>
      <c r="I230" s="139"/>
      <c r="J230" s="139"/>
      <c r="K230" s="139"/>
      <c r="L230" s="139"/>
      <c r="M230" s="139"/>
      <c r="N230" s="139"/>
      <c r="O230" s="139"/>
      <c r="P230" s="139"/>
      <c r="Q230" s="139"/>
      <c r="R230" s="139"/>
      <c r="S230" s="6"/>
    </row>
    <row r="231" spans="1:19" ht="15" customHeight="1" x14ac:dyDescent="0.25">
      <c r="A231" s="138"/>
      <c r="B231" s="121"/>
      <c r="C231" s="139"/>
      <c r="D231" s="139"/>
      <c r="E231" s="139"/>
      <c r="F231" s="139"/>
      <c r="G231" s="139"/>
      <c r="H231" s="139"/>
      <c r="I231" s="139"/>
      <c r="J231" s="139"/>
      <c r="K231" s="139"/>
      <c r="L231" s="139"/>
      <c r="M231" s="139"/>
      <c r="N231" s="139"/>
      <c r="O231" s="139"/>
      <c r="P231" s="139"/>
      <c r="Q231" s="139"/>
      <c r="R231" s="139"/>
      <c r="S231" s="6"/>
    </row>
    <row r="232" spans="1:19" ht="15" customHeight="1" x14ac:dyDescent="0.25">
      <c r="A232" s="138"/>
      <c r="B232" s="121"/>
      <c r="C232" s="139"/>
      <c r="D232" s="139"/>
      <c r="E232" s="139"/>
      <c r="F232" s="139"/>
      <c r="G232" s="139"/>
      <c r="H232" s="139"/>
      <c r="I232" s="139"/>
      <c r="J232" s="139"/>
      <c r="K232" s="139"/>
      <c r="L232" s="139"/>
      <c r="M232" s="139"/>
      <c r="N232" s="139"/>
      <c r="O232" s="139"/>
      <c r="P232" s="139"/>
      <c r="Q232" s="139"/>
      <c r="R232" s="139"/>
      <c r="S232" s="6"/>
    </row>
    <row r="233" spans="1:19" x14ac:dyDescent="0.25">
      <c r="A233" s="15"/>
      <c r="S233" s="6"/>
    </row>
    <row r="234" spans="1:19" ht="15" customHeight="1" x14ac:dyDescent="0.25">
      <c r="A234" s="128" t="s">
        <v>146</v>
      </c>
      <c r="B234" s="118"/>
      <c r="C234" s="118"/>
      <c r="D234" s="118"/>
      <c r="E234" s="118"/>
      <c r="F234" s="118"/>
      <c r="G234" s="118"/>
      <c r="H234" s="118"/>
      <c r="I234" s="118"/>
      <c r="J234" s="118"/>
      <c r="K234" s="118"/>
      <c r="L234" s="118"/>
      <c r="M234" s="118"/>
      <c r="N234" s="118"/>
      <c r="O234" s="118"/>
      <c r="P234" s="118"/>
      <c r="Q234" s="118"/>
      <c r="R234" s="118"/>
      <c r="S234" s="6"/>
    </row>
    <row r="235" spans="1:19" x14ac:dyDescent="0.25">
      <c r="A235" s="128"/>
      <c r="B235" s="118"/>
      <c r="C235" s="118"/>
      <c r="D235" s="118"/>
      <c r="E235" s="118"/>
      <c r="F235" s="118"/>
      <c r="G235" s="118"/>
      <c r="H235" s="118"/>
      <c r="I235" s="118"/>
      <c r="J235" s="118"/>
      <c r="K235" s="118"/>
      <c r="L235" s="118"/>
      <c r="M235" s="118"/>
      <c r="N235" s="118"/>
      <c r="O235" s="118"/>
      <c r="P235" s="118"/>
      <c r="Q235" s="118"/>
      <c r="R235" s="118"/>
      <c r="S235" s="6"/>
    </row>
    <row r="236" spans="1:19" x14ac:dyDescent="0.25">
      <c r="A236" s="128"/>
      <c r="B236" s="118"/>
      <c r="C236" s="118"/>
      <c r="D236" s="118"/>
      <c r="E236" s="118"/>
      <c r="F236" s="118"/>
      <c r="G236" s="118"/>
      <c r="H236" s="118"/>
      <c r="I236" s="118"/>
      <c r="J236" s="118"/>
      <c r="K236" s="118"/>
      <c r="L236" s="118"/>
      <c r="M236" s="118"/>
      <c r="N236" s="118"/>
      <c r="O236" s="118"/>
      <c r="P236" s="118"/>
      <c r="Q236" s="118"/>
      <c r="R236" s="118"/>
      <c r="S236" s="6"/>
    </row>
    <row r="237" spans="1:19" x14ac:dyDescent="0.25">
      <c r="A237" s="128"/>
      <c r="B237" s="118"/>
      <c r="C237" s="118"/>
      <c r="D237" s="118"/>
      <c r="E237" s="118"/>
      <c r="F237" s="118"/>
      <c r="G237" s="118"/>
      <c r="H237" s="118"/>
      <c r="I237" s="118"/>
      <c r="J237" s="118"/>
      <c r="K237" s="118"/>
      <c r="L237" s="118"/>
      <c r="M237" s="118"/>
      <c r="N237" s="118"/>
      <c r="O237" s="118"/>
      <c r="P237" s="118"/>
      <c r="Q237" s="118"/>
      <c r="R237" s="118"/>
      <c r="S237" s="6"/>
    </row>
    <row r="238" spans="1:19" x14ac:dyDescent="0.25">
      <c r="A238" s="128"/>
      <c r="B238" s="118"/>
      <c r="C238" s="118"/>
      <c r="D238" s="118"/>
      <c r="E238" s="118"/>
      <c r="F238" s="118"/>
      <c r="G238" s="118"/>
      <c r="H238" s="118"/>
      <c r="I238" s="118"/>
      <c r="J238" s="118"/>
      <c r="K238" s="118"/>
      <c r="L238" s="118"/>
      <c r="M238" s="118"/>
      <c r="N238" s="118"/>
      <c r="O238" s="118"/>
      <c r="P238" s="118"/>
      <c r="Q238" s="118"/>
      <c r="R238" s="118"/>
      <c r="S238" s="6"/>
    </row>
    <row r="239" spans="1:19" x14ac:dyDescent="0.25">
      <c r="A239" s="128"/>
      <c r="B239" s="118"/>
      <c r="C239" s="118"/>
      <c r="D239" s="118"/>
      <c r="E239" s="118"/>
      <c r="F239" s="118"/>
      <c r="G239" s="118"/>
      <c r="H239" s="118"/>
      <c r="I239" s="118"/>
      <c r="J239" s="118"/>
      <c r="K239" s="118"/>
      <c r="L239" s="118"/>
      <c r="M239" s="118"/>
      <c r="N239" s="118"/>
      <c r="O239" s="118"/>
      <c r="P239" s="118"/>
      <c r="Q239" s="118"/>
      <c r="R239" s="118"/>
      <c r="S239" s="6"/>
    </row>
    <row r="240" spans="1:19" x14ac:dyDescent="0.25">
      <c r="A240" s="128"/>
      <c r="B240" s="118"/>
      <c r="C240" s="118"/>
      <c r="D240" s="118"/>
      <c r="E240" s="118"/>
      <c r="F240" s="118"/>
      <c r="G240" s="118"/>
      <c r="H240" s="118"/>
      <c r="I240" s="118"/>
      <c r="J240" s="118"/>
      <c r="K240" s="118"/>
      <c r="L240" s="118"/>
      <c r="M240" s="118"/>
      <c r="N240" s="118"/>
      <c r="O240" s="118"/>
      <c r="P240" s="118"/>
      <c r="Q240" s="118"/>
      <c r="R240" s="118"/>
      <c r="S240" s="6"/>
    </row>
    <row r="241" spans="1:19" x14ac:dyDescent="0.25">
      <c r="A241" s="128"/>
      <c r="B241" s="118"/>
      <c r="C241" s="118"/>
      <c r="D241" s="118"/>
      <c r="E241" s="118"/>
      <c r="F241" s="118"/>
      <c r="G241" s="118"/>
      <c r="H241" s="118"/>
      <c r="I241" s="118"/>
      <c r="J241" s="118"/>
      <c r="K241" s="118"/>
      <c r="L241" s="118"/>
      <c r="M241" s="118"/>
      <c r="N241" s="118"/>
      <c r="O241" s="118"/>
      <c r="P241" s="118"/>
      <c r="Q241" s="118"/>
      <c r="R241" s="118"/>
      <c r="S241" s="6"/>
    </row>
    <row r="242" spans="1:19" x14ac:dyDescent="0.25">
      <c r="A242" s="128"/>
      <c r="B242" s="118"/>
      <c r="C242" s="118"/>
      <c r="D242" s="118"/>
      <c r="E242" s="118"/>
      <c r="F242" s="118"/>
      <c r="G242" s="118"/>
      <c r="H242" s="118"/>
      <c r="I242" s="118"/>
      <c r="J242" s="118"/>
      <c r="K242" s="118"/>
      <c r="L242" s="118"/>
      <c r="M242" s="118"/>
      <c r="N242" s="118"/>
      <c r="O242" s="118"/>
      <c r="P242" s="118"/>
      <c r="Q242" s="118"/>
      <c r="R242" s="118"/>
      <c r="S242" s="6"/>
    </row>
    <row r="243" spans="1:19" x14ac:dyDescent="0.25">
      <c r="A243" s="128"/>
      <c r="B243" s="118"/>
      <c r="C243" s="118"/>
      <c r="D243" s="118"/>
      <c r="E243" s="118"/>
      <c r="F243" s="118"/>
      <c r="G243" s="118"/>
      <c r="H243" s="118"/>
      <c r="I243" s="118"/>
      <c r="J243" s="118"/>
      <c r="K243" s="118"/>
      <c r="L243" s="118"/>
      <c r="M243" s="118"/>
      <c r="N243" s="118"/>
      <c r="O243" s="118"/>
      <c r="P243" s="118"/>
      <c r="Q243" s="118"/>
      <c r="R243" s="118"/>
      <c r="S243" s="6"/>
    </row>
    <row r="244" spans="1:19" x14ac:dyDescent="0.25">
      <c r="A244" s="128"/>
      <c r="B244" s="118"/>
      <c r="C244" s="118"/>
      <c r="D244" s="118"/>
      <c r="E244" s="118"/>
      <c r="F244" s="118"/>
      <c r="G244" s="118"/>
      <c r="H244" s="118"/>
      <c r="I244" s="118"/>
      <c r="J244" s="118"/>
      <c r="K244" s="118"/>
      <c r="L244" s="118"/>
      <c r="M244" s="118"/>
      <c r="N244" s="118"/>
      <c r="O244" s="118"/>
      <c r="P244" s="118"/>
      <c r="Q244" s="118"/>
      <c r="R244" s="118"/>
      <c r="S244" s="6"/>
    </row>
    <row r="245" spans="1:19" x14ac:dyDescent="0.25">
      <c r="A245" s="128"/>
      <c r="B245" s="118"/>
      <c r="C245" s="118"/>
      <c r="D245" s="118"/>
      <c r="E245" s="118"/>
      <c r="F245" s="118"/>
      <c r="G245" s="118"/>
      <c r="H245" s="118"/>
      <c r="I245" s="118"/>
      <c r="J245" s="118"/>
      <c r="K245" s="118"/>
      <c r="L245" s="118"/>
      <c r="M245" s="118"/>
      <c r="N245" s="118"/>
      <c r="O245" s="118"/>
      <c r="P245" s="118"/>
      <c r="Q245" s="118"/>
      <c r="R245" s="118"/>
      <c r="S245" s="6"/>
    </row>
    <row r="246" spans="1:19" x14ac:dyDescent="0.25">
      <c r="A246" s="128"/>
      <c r="B246" s="118"/>
      <c r="C246" s="118"/>
      <c r="D246" s="118"/>
      <c r="E246" s="118"/>
      <c r="F246" s="118"/>
      <c r="G246" s="118"/>
      <c r="H246" s="118"/>
      <c r="I246" s="118"/>
      <c r="J246" s="118"/>
      <c r="K246" s="118"/>
      <c r="L246" s="118"/>
      <c r="M246" s="118"/>
      <c r="N246" s="118"/>
      <c r="O246" s="118"/>
      <c r="P246" s="118"/>
      <c r="Q246" s="118"/>
      <c r="R246" s="118"/>
      <c r="S246" s="6"/>
    </row>
    <row r="247" spans="1:19" x14ac:dyDescent="0.25">
      <c r="A247" s="128"/>
      <c r="B247" s="118"/>
      <c r="C247" s="118"/>
      <c r="D247" s="118"/>
      <c r="E247" s="118"/>
      <c r="F247" s="118"/>
      <c r="G247" s="118"/>
      <c r="H247" s="118"/>
      <c r="I247" s="118"/>
      <c r="J247" s="118"/>
      <c r="K247" s="118"/>
      <c r="L247" s="118"/>
      <c r="M247" s="118"/>
      <c r="N247" s="118"/>
      <c r="O247" s="118"/>
      <c r="P247" s="118"/>
      <c r="Q247" s="118"/>
      <c r="R247" s="118"/>
      <c r="S247" s="6"/>
    </row>
    <row r="248" spans="1:19" x14ac:dyDescent="0.25">
      <c r="A248" s="128"/>
      <c r="B248" s="118"/>
      <c r="C248" s="118"/>
      <c r="D248" s="118"/>
      <c r="E248" s="118"/>
      <c r="F248" s="118"/>
      <c r="G248" s="118"/>
      <c r="H248" s="118"/>
      <c r="I248" s="118"/>
      <c r="J248" s="118"/>
      <c r="K248" s="118"/>
      <c r="L248" s="118"/>
      <c r="M248" s="118"/>
      <c r="N248" s="118"/>
      <c r="O248" s="118"/>
      <c r="P248" s="118"/>
      <c r="Q248" s="118"/>
      <c r="R248" s="118"/>
      <c r="S248" s="6"/>
    </row>
    <row r="249" spans="1:19" x14ac:dyDescent="0.25">
      <c r="A249" s="128"/>
      <c r="B249" s="118"/>
      <c r="C249" s="118"/>
      <c r="D249" s="118"/>
      <c r="E249" s="118"/>
      <c r="F249" s="118"/>
      <c r="G249" s="118"/>
      <c r="H249" s="118"/>
      <c r="I249" s="118"/>
      <c r="J249" s="118"/>
      <c r="K249" s="118"/>
      <c r="L249" s="118"/>
      <c r="M249" s="118"/>
      <c r="N249" s="118"/>
      <c r="O249" s="118"/>
      <c r="P249" s="118"/>
      <c r="Q249" s="118"/>
      <c r="R249" s="118"/>
      <c r="S249" s="6"/>
    </row>
    <row r="250" spans="1:19" x14ac:dyDescent="0.25">
      <c r="A250" s="128"/>
      <c r="B250" s="118"/>
      <c r="C250" s="118"/>
      <c r="D250" s="118"/>
      <c r="E250" s="118"/>
      <c r="F250" s="118"/>
      <c r="G250" s="118"/>
      <c r="H250" s="118"/>
      <c r="I250" s="118"/>
      <c r="J250" s="118"/>
      <c r="K250" s="118"/>
      <c r="L250" s="118"/>
      <c r="M250" s="118"/>
      <c r="N250" s="118"/>
      <c r="O250" s="118"/>
      <c r="P250" s="118"/>
      <c r="Q250" s="118"/>
      <c r="R250" s="118"/>
      <c r="S250" s="6"/>
    </row>
    <row r="251" spans="1:19" x14ac:dyDescent="0.25">
      <c r="A251" s="128"/>
      <c r="B251" s="118"/>
      <c r="C251" s="118"/>
      <c r="D251" s="118"/>
      <c r="E251" s="118"/>
      <c r="F251" s="118"/>
      <c r="G251" s="118"/>
      <c r="H251" s="118"/>
      <c r="I251" s="118"/>
      <c r="J251" s="118"/>
      <c r="K251" s="118"/>
      <c r="L251" s="118"/>
      <c r="M251" s="118"/>
      <c r="N251" s="118"/>
      <c r="O251" s="118"/>
      <c r="P251" s="118"/>
      <c r="Q251" s="118"/>
      <c r="R251" s="118"/>
      <c r="S251" s="6"/>
    </row>
    <row r="252" spans="1:19" x14ac:dyDescent="0.25">
      <c r="A252" s="128"/>
      <c r="B252" s="118"/>
      <c r="C252" s="118"/>
      <c r="D252" s="118"/>
      <c r="E252" s="118"/>
      <c r="F252" s="118"/>
      <c r="G252" s="118"/>
      <c r="H252" s="118"/>
      <c r="I252" s="118"/>
      <c r="J252" s="118"/>
      <c r="K252" s="118"/>
      <c r="L252" s="118"/>
      <c r="M252" s="118"/>
      <c r="N252" s="118"/>
      <c r="O252" s="118"/>
      <c r="P252" s="118"/>
      <c r="Q252" s="118"/>
      <c r="R252" s="118"/>
      <c r="S252" s="6"/>
    </row>
    <row r="253" spans="1:19" x14ac:dyDescent="0.25">
      <c r="A253" s="128"/>
      <c r="B253" s="118"/>
      <c r="C253" s="118"/>
      <c r="D253" s="118"/>
      <c r="E253" s="118"/>
      <c r="F253" s="118"/>
      <c r="G253" s="118"/>
      <c r="H253" s="118"/>
      <c r="I253" s="118"/>
      <c r="J253" s="118"/>
      <c r="K253" s="118"/>
      <c r="L253" s="118"/>
      <c r="M253" s="118"/>
      <c r="N253" s="118"/>
      <c r="O253" s="118"/>
      <c r="P253" s="118"/>
      <c r="Q253" s="118"/>
      <c r="R253" s="118"/>
      <c r="S253" s="6"/>
    </row>
    <row r="254" spans="1:19" x14ac:dyDescent="0.25">
      <c r="A254" s="128"/>
      <c r="B254" s="118"/>
      <c r="C254" s="118"/>
      <c r="D254" s="118"/>
      <c r="E254" s="118"/>
      <c r="F254" s="118"/>
      <c r="G254" s="118"/>
      <c r="H254" s="118"/>
      <c r="I254" s="118"/>
      <c r="J254" s="118"/>
      <c r="K254" s="118"/>
      <c r="L254" s="118"/>
      <c r="M254" s="118"/>
      <c r="N254" s="118"/>
      <c r="O254" s="118"/>
      <c r="P254" s="118"/>
      <c r="Q254" s="118"/>
      <c r="R254" s="118"/>
      <c r="S254" s="6"/>
    </row>
    <row r="255" spans="1:19" x14ac:dyDescent="0.25">
      <c r="A255" s="128"/>
      <c r="B255" s="118"/>
      <c r="C255" s="118"/>
      <c r="D255" s="118"/>
      <c r="E255" s="118"/>
      <c r="F255" s="118"/>
      <c r="G255" s="118"/>
      <c r="H255" s="118"/>
      <c r="I255" s="118"/>
      <c r="J255" s="118"/>
      <c r="K255" s="118"/>
      <c r="L255" s="118"/>
      <c r="M255" s="118"/>
      <c r="N255" s="118"/>
      <c r="O255" s="118"/>
      <c r="P255" s="118"/>
      <c r="Q255" s="118"/>
      <c r="R255" s="118"/>
      <c r="S255" s="6"/>
    </row>
    <row r="256" spans="1:19" x14ac:dyDescent="0.25">
      <c r="A256" s="128"/>
      <c r="B256" s="118"/>
      <c r="C256" s="118"/>
      <c r="D256" s="118"/>
      <c r="E256" s="118"/>
      <c r="F256" s="118"/>
      <c r="G256" s="118"/>
      <c r="H256" s="118"/>
      <c r="I256" s="118"/>
      <c r="J256" s="118"/>
      <c r="K256" s="118"/>
      <c r="L256" s="118"/>
      <c r="M256" s="118"/>
      <c r="N256" s="118"/>
      <c r="O256" s="118"/>
      <c r="P256" s="118"/>
      <c r="Q256" s="118"/>
      <c r="R256" s="118"/>
      <c r="S256" s="6"/>
    </row>
    <row r="257" spans="1:19" x14ac:dyDescent="0.25">
      <c r="A257" s="128"/>
      <c r="B257" s="118"/>
      <c r="C257" s="118"/>
      <c r="D257" s="118"/>
      <c r="E257" s="118"/>
      <c r="F257" s="118"/>
      <c r="G257" s="118"/>
      <c r="H257" s="118"/>
      <c r="I257" s="118"/>
      <c r="J257" s="118"/>
      <c r="K257" s="118"/>
      <c r="L257" s="118"/>
      <c r="M257" s="118"/>
      <c r="N257" s="118"/>
      <c r="O257" s="118"/>
      <c r="P257" s="118"/>
      <c r="Q257" s="118"/>
      <c r="R257" s="118"/>
      <c r="S257" s="6"/>
    </row>
    <row r="258" spans="1:19" x14ac:dyDescent="0.25">
      <c r="A258" s="128"/>
      <c r="B258" s="118"/>
      <c r="C258" s="118"/>
      <c r="D258" s="118"/>
      <c r="E258" s="118"/>
      <c r="F258" s="118"/>
      <c r="G258" s="118"/>
      <c r="H258" s="118"/>
      <c r="I258" s="118"/>
      <c r="J258" s="118"/>
      <c r="K258" s="118"/>
      <c r="L258" s="118"/>
      <c r="M258" s="118"/>
      <c r="N258" s="118"/>
      <c r="O258" s="118"/>
      <c r="P258" s="118"/>
      <c r="Q258" s="118"/>
      <c r="R258" s="118"/>
      <c r="S258" s="6"/>
    </row>
    <row r="259" spans="1:19" x14ac:dyDescent="0.25">
      <c r="A259" s="128"/>
      <c r="B259" s="118"/>
      <c r="C259" s="118"/>
      <c r="D259" s="118"/>
      <c r="E259" s="118"/>
      <c r="F259" s="118"/>
      <c r="G259" s="118"/>
      <c r="H259" s="118"/>
      <c r="I259" s="118"/>
      <c r="J259" s="118"/>
      <c r="K259" s="118"/>
      <c r="L259" s="118"/>
      <c r="M259" s="118"/>
      <c r="N259" s="118"/>
      <c r="O259" s="118"/>
      <c r="P259" s="118"/>
      <c r="Q259" s="118"/>
      <c r="R259" s="118"/>
      <c r="S259" s="6"/>
    </row>
    <row r="260" spans="1:19" x14ac:dyDescent="0.25">
      <c r="A260" s="128"/>
      <c r="B260" s="118"/>
      <c r="C260" s="118"/>
      <c r="D260" s="118"/>
      <c r="E260" s="118"/>
      <c r="F260" s="118"/>
      <c r="G260" s="118"/>
      <c r="H260" s="118"/>
      <c r="I260" s="118"/>
      <c r="J260" s="118"/>
      <c r="K260" s="118"/>
      <c r="L260" s="118"/>
      <c r="M260" s="118"/>
      <c r="N260" s="118"/>
      <c r="O260" s="118"/>
      <c r="P260" s="118"/>
      <c r="Q260" s="118"/>
      <c r="R260" s="118"/>
      <c r="S260" s="6"/>
    </row>
    <row r="261" spans="1:19" x14ac:dyDescent="0.25">
      <c r="A261" s="128"/>
      <c r="B261" s="118"/>
      <c r="C261" s="118"/>
      <c r="D261" s="118"/>
      <c r="E261" s="118"/>
      <c r="F261" s="118"/>
      <c r="G261" s="118"/>
      <c r="H261" s="118"/>
      <c r="I261" s="118"/>
      <c r="J261" s="118"/>
      <c r="K261" s="118"/>
      <c r="L261" s="118"/>
      <c r="M261" s="118"/>
      <c r="N261" s="118"/>
      <c r="O261" s="118"/>
      <c r="P261" s="118"/>
      <c r="Q261" s="118"/>
      <c r="R261" s="118"/>
      <c r="S261" s="6"/>
    </row>
    <row r="262" spans="1:19" x14ac:dyDescent="0.25">
      <c r="A262" s="128"/>
      <c r="B262" s="118"/>
      <c r="C262" s="118"/>
      <c r="D262" s="118"/>
      <c r="E262" s="118"/>
      <c r="F262" s="118"/>
      <c r="G262" s="118"/>
      <c r="H262" s="118"/>
      <c r="I262" s="118"/>
      <c r="J262" s="118"/>
      <c r="K262" s="118"/>
      <c r="L262" s="118"/>
      <c r="M262" s="118"/>
      <c r="N262" s="118"/>
      <c r="O262" s="118"/>
      <c r="P262" s="118"/>
      <c r="Q262" s="118"/>
      <c r="R262" s="118"/>
      <c r="S262" s="6"/>
    </row>
    <row r="263" spans="1:19" x14ac:dyDescent="0.25">
      <c r="A263" s="128"/>
      <c r="B263" s="118"/>
      <c r="C263" s="118"/>
      <c r="D263" s="118"/>
      <c r="E263" s="118"/>
      <c r="F263" s="118"/>
      <c r="G263" s="118"/>
      <c r="H263" s="118"/>
      <c r="I263" s="118"/>
      <c r="J263" s="118"/>
      <c r="K263" s="118"/>
      <c r="L263" s="118"/>
      <c r="M263" s="118"/>
      <c r="N263" s="118"/>
      <c r="O263" s="118"/>
      <c r="P263" s="118"/>
      <c r="Q263" s="118"/>
      <c r="R263" s="118"/>
      <c r="S263" s="6"/>
    </row>
    <row r="264" spans="1:19" x14ac:dyDescent="0.25">
      <c r="A264" s="128"/>
      <c r="B264" s="118"/>
      <c r="C264" s="118"/>
      <c r="D264" s="118"/>
      <c r="E264" s="118"/>
      <c r="F264" s="118"/>
      <c r="G264" s="118"/>
      <c r="H264" s="118"/>
      <c r="I264" s="118"/>
      <c r="J264" s="118"/>
      <c r="K264" s="118"/>
      <c r="L264" s="118"/>
      <c r="M264" s="118"/>
      <c r="N264" s="118"/>
      <c r="O264" s="118"/>
      <c r="P264" s="118"/>
      <c r="Q264" s="118"/>
      <c r="R264" s="118"/>
      <c r="S264" s="6"/>
    </row>
    <row r="265" spans="1:19" x14ac:dyDescent="0.25">
      <c r="A265" s="128"/>
      <c r="B265" s="118"/>
      <c r="C265" s="118"/>
      <c r="D265" s="118"/>
      <c r="E265" s="118"/>
      <c r="F265" s="118"/>
      <c r="G265" s="118"/>
      <c r="H265" s="118"/>
      <c r="I265" s="118"/>
      <c r="J265" s="118"/>
      <c r="K265" s="118"/>
      <c r="L265" s="118"/>
      <c r="M265" s="118"/>
      <c r="N265" s="118"/>
      <c r="O265" s="118"/>
      <c r="P265" s="118"/>
      <c r="Q265" s="118"/>
      <c r="R265" s="118"/>
      <c r="S265" s="6"/>
    </row>
    <row r="266" spans="1:19" x14ac:dyDescent="0.25">
      <c r="A266" s="128"/>
      <c r="B266" s="118"/>
      <c r="C266" s="118"/>
      <c r="D266" s="118"/>
      <c r="E266" s="118"/>
      <c r="F266" s="118"/>
      <c r="G266" s="118"/>
      <c r="H266" s="118"/>
      <c r="I266" s="118"/>
      <c r="J266" s="118"/>
      <c r="K266" s="118"/>
      <c r="L266" s="118"/>
      <c r="M266" s="118"/>
      <c r="N266" s="118"/>
      <c r="O266" s="118"/>
      <c r="P266" s="118"/>
      <c r="Q266" s="118"/>
      <c r="R266" s="118"/>
      <c r="S266" s="6"/>
    </row>
    <row r="267" spans="1:19" x14ac:dyDescent="0.25">
      <c r="A267" s="5"/>
      <c r="S267" s="6"/>
    </row>
    <row r="268" spans="1:19" x14ac:dyDescent="0.25">
      <c r="A268" s="5"/>
      <c r="S268" s="6"/>
    </row>
    <row r="269" spans="1:19" x14ac:dyDescent="0.25">
      <c r="A269" s="5"/>
      <c r="S269" s="6"/>
    </row>
    <row r="270" spans="1:19" x14ac:dyDescent="0.25">
      <c r="A270" s="7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9"/>
    </row>
  </sheetData>
  <mergeCells count="36">
    <mergeCell ref="B227:R229"/>
    <mergeCell ref="A230:A232"/>
    <mergeCell ref="B230:B232"/>
    <mergeCell ref="C230:R232"/>
    <mergeCell ref="A234:A266"/>
    <mergeCell ref="B234:R266"/>
    <mergeCell ref="B182:R184"/>
    <mergeCell ref="A185:A187"/>
    <mergeCell ref="B185:B187"/>
    <mergeCell ref="C185:R187"/>
    <mergeCell ref="A189:A221"/>
    <mergeCell ref="B189:R221"/>
    <mergeCell ref="B137:R139"/>
    <mergeCell ref="A140:A142"/>
    <mergeCell ref="B140:B142"/>
    <mergeCell ref="C140:R142"/>
    <mergeCell ref="A144:A176"/>
    <mergeCell ref="B144:R176"/>
    <mergeCell ref="B92:R94"/>
    <mergeCell ref="A95:A97"/>
    <mergeCell ref="B95:B97"/>
    <mergeCell ref="C95:R97"/>
    <mergeCell ref="A99:A131"/>
    <mergeCell ref="B99:R131"/>
    <mergeCell ref="B2:R4"/>
    <mergeCell ref="B9:R41"/>
    <mergeCell ref="A9:A41"/>
    <mergeCell ref="A54:A86"/>
    <mergeCell ref="B54:R86"/>
    <mergeCell ref="A50:A52"/>
    <mergeCell ref="A5:A7"/>
    <mergeCell ref="C5:R7"/>
    <mergeCell ref="B5:B7"/>
    <mergeCell ref="B47:R49"/>
    <mergeCell ref="B50:B52"/>
    <mergeCell ref="C50:R52"/>
  </mergeCells>
  <pageMargins left="0.19685039370078741" right="0.19685039370078741" top="0.19685039370078741" bottom="0.19685039370078741" header="0" footer="0.35433070866141736"/>
  <pageSetup paperSize="9" scale="87" orientation="landscape" horizontalDpi="720" verticalDpi="720" r:id="rId1"/>
  <headerFooter alignWithMargins="0">
    <oddFooter xml:space="preserve">&amp;C&amp;10Tooshop | M. Santos | &amp;D&amp;R&amp;10Página &amp;P de &amp;N                                               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513"/>
  <sheetViews>
    <sheetView workbookViewId="0">
      <selection activeCell="B6" sqref="B6"/>
    </sheetView>
  </sheetViews>
  <sheetFormatPr defaultRowHeight="15" x14ac:dyDescent="0.25"/>
  <cols>
    <col min="1" max="1" width="45.7109375" bestFit="1" customWidth="1"/>
  </cols>
  <sheetData>
    <row r="1" spans="1:1" x14ac:dyDescent="0.25">
      <c r="A1" s="1" t="s">
        <v>43</v>
      </c>
    </row>
    <row r="2" spans="1:1" x14ac:dyDescent="0.25">
      <c r="A2" s="1" t="s">
        <v>41</v>
      </c>
    </row>
    <row r="3" spans="1:1" x14ac:dyDescent="0.25">
      <c r="A3" s="1" t="s">
        <v>51</v>
      </c>
    </row>
    <row r="4" spans="1:1" x14ac:dyDescent="0.25">
      <c r="A4" s="1" t="s">
        <v>52</v>
      </c>
    </row>
    <row r="5" spans="1:1" x14ac:dyDescent="0.25">
      <c r="A5" s="1" t="s">
        <v>53</v>
      </c>
    </row>
    <row r="6" spans="1:1" x14ac:dyDescent="0.25">
      <c r="A6" s="1" t="s">
        <v>54</v>
      </c>
    </row>
    <row r="7" spans="1:1" x14ac:dyDescent="0.25">
      <c r="A7" s="1" t="s">
        <v>55</v>
      </c>
    </row>
    <row r="8" spans="1:1" x14ac:dyDescent="0.25">
      <c r="A8" s="1" t="s">
        <v>18</v>
      </c>
    </row>
    <row r="9" spans="1:1" x14ac:dyDescent="0.25">
      <c r="A9" s="1" t="s">
        <v>6</v>
      </c>
    </row>
    <row r="10" spans="1:1" x14ac:dyDescent="0.25">
      <c r="A10" s="1" t="s">
        <v>41</v>
      </c>
    </row>
    <row r="11" spans="1:1" x14ac:dyDescent="0.25">
      <c r="A11" s="1" t="s">
        <v>56</v>
      </c>
    </row>
    <row r="12" spans="1:1" x14ac:dyDescent="0.25">
      <c r="A12" s="1" t="s">
        <v>57</v>
      </c>
    </row>
    <row r="13" spans="1:1" x14ac:dyDescent="0.25">
      <c r="A13" s="1" t="s">
        <v>58</v>
      </c>
    </row>
    <row r="14" spans="1:1" x14ac:dyDescent="0.25">
      <c r="A14" s="1" t="s">
        <v>54</v>
      </c>
    </row>
    <row r="15" spans="1:1" x14ac:dyDescent="0.25">
      <c r="A15" s="1" t="s">
        <v>58</v>
      </c>
    </row>
    <row r="16" spans="1:1" x14ac:dyDescent="0.25">
      <c r="A16" s="1" t="s">
        <v>18</v>
      </c>
    </row>
    <row r="17" spans="1:1" x14ac:dyDescent="0.25">
      <c r="A17" s="1" t="s">
        <v>6</v>
      </c>
    </row>
    <row r="18" spans="1:1" x14ac:dyDescent="0.25">
      <c r="A18" s="1" t="s">
        <v>41</v>
      </c>
    </row>
    <row r="19" spans="1:1" x14ac:dyDescent="0.25">
      <c r="A19" s="1" t="s">
        <v>51</v>
      </c>
    </row>
    <row r="20" spans="1:1" x14ac:dyDescent="0.25">
      <c r="A20" s="1" t="s">
        <v>147</v>
      </c>
    </row>
    <row r="21" spans="1:1" x14ac:dyDescent="0.25">
      <c r="A21" s="1" t="s">
        <v>148</v>
      </c>
    </row>
    <row r="22" spans="1:1" x14ac:dyDescent="0.25">
      <c r="A22" s="1" t="s">
        <v>149</v>
      </c>
    </row>
    <row r="23" spans="1:1" x14ac:dyDescent="0.25">
      <c r="A23" s="1" t="s">
        <v>150</v>
      </c>
    </row>
    <row r="24" spans="1:1" x14ac:dyDescent="0.25">
      <c r="A24" s="1" t="s">
        <v>18</v>
      </c>
    </row>
    <row r="25" spans="1:1" x14ac:dyDescent="0.25">
      <c r="A25" s="1" t="s">
        <v>6</v>
      </c>
    </row>
    <row r="26" spans="1:1" x14ac:dyDescent="0.25">
      <c r="A26" s="1" t="s">
        <v>41</v>
      </c>
    </row>
    <row r="27" spans="1:1" x14ac:dyDescent="0.25">
      <c r="A27" s="1" t="s">
        <v>151</v>
      </c>
    </row>
    <row r="28" spans="1:1" x14ac:dyDescent="0.25">
      <c r="A28" s="1" t="s">
        <v>143</v>
      </c>
    </row>
    <row r="29" spans="1:1" x14ac:dyDescent="0.25">
      <c r="A29" s="1" t="s">
        <v>152</v>
      </c>
    </row>
    <row r="30" spans="1:1" x14ac:dyDescent="0.25">
      <c r="A30" s="1" t="s">
        <v>64</v>
      </c>
    </row>
    <row r="31" spans="1:1" x14ac:dyDescent="0.25">
      <c r="A31" s="1" t="s">
        <v>153</v>
      </c>
    </row>
    <row r="32" spans="1:1" x14ac:dyDescent="0.25">
      <c r="A32" s="1" t="s">
        <v>18</v>
      </c>
    </row>
    <row r="33" spans="1:1" x14ac:dyDescent="0.25">
      <c r="A33" s="1" t="s">
        <v>6</v>
      </c>
    </row>
    <row r="34" spans="1:1" x14ac:dyDescent="0.25">
      <c r="A34" s="1" t="s">
        <v>41</v>
      </c>
    </row>
    <row r="35" spans="1:1" x14ac:dyDescent="0.25">
      <c r="A35" s="1" t="s">
        <v>156</v>
      </c>
    </row>
    <row r="36" spans="1:1" x14ac:dyDescent="0.25">
      <c r="A36" s="1" t="s">
        <v>157</v>
      </c>
    </row>
    <row r="37" spans="1:1" x14ac:dyDescent="0.25">
      <c r="A37" s="1" t="s">
        <v>158</v>
      </c>
    </row>
    <row r="38" spans="1:1" x14ac:dyDescent="0.25">
      <c r="A38" s="1" t="s">
        <v>159</v>
      </c>
    </row>
    <row r="39" spans="1:1" x14ac:dyDescent="0.25">
      <c r="A39" s="1" t="s">
        <v>160</v>
      </c>
    </row>
    <row r="40" spans="1:1" x14ac:dyDescent="0.25">
      <c r="A40" s="1" t="s">
        <v>161</v>
      </c>
    </row>
    <row r="41" spans="1:1" x14ac:dyDescent="0.25">
      <c r="A41" s="1" t="s">
        <v>6</v>
      </c>
    </row>
    <row r="42" spans="1:1" x14ac:dyDescent="0.25">
      <c r="A42" s="1" t="s">
        <v>41</v>
      </c>
    </row>
    <row r="43" spans="1:1" x14ac:dyDescent="0.25">
      <c r="A43" s="1" t="s">
        <v>176</v>
      </c>
    </row>
    <row r="44" spans="1:1" x14ac:dyDescent="0.25">
      <c r="A44" s="1" t="s">
        <v>157</v>
      </c>
    </row>
    <row r="45" spans="1:1" x14ac:dyDescent="0.25">
      <c r="A45" s="1" t="s">
        <v>148</v>
      </c>
    </row>
    <row r="46" spans="1:1" x14ac:dyDescent="0.25">
      <c r="A46" s="1" t="s">
        <v>48</v>
      </c>
    </row>
    <row r="47" spans="1:1" x14ac:dyDescent="0.25">
      <c r="A47" s="1" t="s">
        <v>177</v>
      </c>
    </row>
    <row r="48" spans="1:1" x14ac:dyDescent="0.25">
      <c r="A48" s="1" t="s">
        <v>161</v>
      </c>
    </row>
    <row r="49" spans="1:1" x14ac:dyDescent="0.25">
      <c r="A49" s="1" t="s">
        <v>6</v>
      </c>
    </row>
    <row r="50" spans="1:1" x14ac:dyDescent="0.25">
      <c r="A50" s="1" t="s">
        <v>41</v>
      </c>
    </row>
    <row r="51" spans="1:1" x14ac:dyDescent="0.25">
      <c r="A51" s="1" t="s">
        <v>176</v>
      </c>
    </row>
    <row r="52" spans="1:1" x14ac:dyDescent="0.25">
      <c r="A52" s="1" t="s">
        <v>157</v>
      </c>
    </row>
    <row r="53" spans="1:1" x14ac:dyDescent="0.25">
      <c r="A53" s="1" t="s">
        <v>178</v>
      </c>
    </row>
    <row r="54" spans="1:1" x14ac:dyDescent="0.25">
      <c r="A54" s="1" t="s">
        <v>48</v>
      </c>
    </row>
    <row r="55" spans="1:1" x14ac:dyDescent="0.25">
      <c r="A55" s="1" t="s">
        <v>179</v>
      </c>
    </row>
    <row r="56" spans="1:1" x14ac:dyDescent="0.25">
      <c r="A56" s="1" t="s">
        <v>161</v>
      </c>
    </row>
    <row r="57" spans="1:1" x14ac:dyDescent="0.25">
      <c r="A57" s="1" t="s">
        <v>6</v>
      </c>
    </row>
    <row r="58" spans="1:1" x14ac:dyDescent="0.25">
      <c r="A58" s="1" t="s">
        <v>41</v>
      </c>
    </row>
    <row r="59" spans="1:1" x14ac:dyDescent="0.25">
      <c r="A59" s="1" t="s">
        <v>156</v>
      </c>
    </row>
    <row r="60" spans="1:1" x14ac:dyDescent="0.25">
      <c r="A60" s="1" t="s">
        <v>57</v>
      </c>
    </row>
    <row r="61" spans="1:1" x14ac:dyDescent="0.25">
      <c r="A61" s="1" t="s">
        <v>158</v>
      </c>
    </row>
    <row r="62" spans="1:1" x14ac:dyDescent="0.25">
      <c r="A62" s="1" t="s">
        <v>54</v>
      </c>
    </row>
    <row r="63" spans="1:1" x14ac:dyDescent="0.25">
      <c r="A63" s="1" t="s">
        <v>180</v>
      </c>
    </row>
    <row r="64" spans="1:1" x14ac:dyDescent="0.25">
      <c r="A64" s="1" t="s">
        <v>161</v>
      </c>
    </row>
    <row r="65" spans="1:1" x14ac:dyDescent="0.25">
      <c r="A65" s="1" t="s">
        <v>6</v>
      </c>
    </row>
    <row r="66" spans="1:1" x14ac:dyDescent="0.25">
      <c r="A66" s="1" t="s">
        <v>41</v>
      </c>
    </row>
    <row r="67" spans="1:1" x14ac:dyDescent="0.25">
      <c r="A67" s="1" t="s">
        <v>181</v>
      </c>
    </row>
    <row r="68" spans="1:1" x14ac:dyDescent="0.25">
      <c r="A68" s="1" t="s">
        <v>157</v>
      </c>
    </row>
    <row r="69" spans="1:1" x14ac:dyDescent="0.25">
      <c r="A69" s="1" t="s">
        <v>158</v>
      </c>
    </row>
    <row r="70" spans="1:1" x14ac:dyDescent="0.25">
      <c r="A70" s="1" t="s">
        <v>54</v>
      </c>
    </row>
    <row r="71" spans="1:1" x14ac:dyDescent="0.25">
      <c r="A71" s="1" t="s">
        <v>182</v>
      </c>
    </row>
    <row r="72" spans="1:1" x14ac:dyDescent="0.25">
      <c r="A72" s="1" t="s">
        <v>161</v>
      </c>
    </row>
    <row r="73" spans="1:1" x14ac:dyDescent="0.25">
      <c r="A73" s="1" t="s">
        <v>6</v>
      </c>
    </row>
    <row r="74" spans="1:1" x14ac:dyDescent="0.25">
      <c r="A74" s="1" t="s">
        <v>41</v>
      </c>
    </row>
    <row r="75" spans="1:1" x14ac:dyDescent="0.25">
      <c r="A75" s="1" t="s">
        <v>165</v>
      </c>
    </row>
    <row r="76" spans="1:1" x14ac:dyDescent="0.25">
      <c r="A76" s="1" t="s">
        <v>46</v>
      </c>
    </row>
    <row r="77" spans="1:1" x14ac:dyDescent="0.25">
      <c r="A77" s="1" t="s">
        <v>158</v>
      </c>
    </row>
    <row r="78" spans="1:1" x14ac:dyDescent="0.25">
      <c r="A78" s="1" t="s">
        <v>48</v>
      </c>
    </row>
    <row r="79" spans="1:1" x14ac:dyDescent="0.25">
      <c r="A79" s="1" t="s">
        <v>183</v>
      </c>
    </row>
    <row r="80" spans="1:1" x14ac:dyDescent="0.25">
      <c r="A80" s="1" t="s">
        <v>161</v>
      </c>
    </row>
    <row r="81" spans="1:1" x14ac:dyDescent="0.25">
      <c r="A81" s="1" t="s">
        <v>6</v>
      </c>
    </row>
    <row r="82" spans="1:1" x14ac:dyDescent="0.25">
      <c r="A82" s="1" t="s">
        <v>41</v>
      </c>
    </row>
    <row r="83" spans="1:1" x14ac:dyDescent="0.25">
      <c r="A83" s="1" t="s">
        <v>176</v>
      </c>
    </row>
    <row r="84" spans="1:1" x14ac:dyDescent="0.25">
      <c r="A84" s="1" t="s">
        <v>46</v>
      </c>
    </row>
    <row r="85" spans="1:1" x14ac:dyDescent="0.25">
      <c r="A85" s="1" t="s">
        <v>178</v>
      </c>
    </row>
    <row r="86" spans="1:1" x14ac:dyDescent="0.25">
      <c r="A86" s="1" t="s">
        <v>48</v>
      </c>
    </row>
    <row r="87" spans="1:1" x14ac:dyDescent="0.25">
      <c r="A87" s="1" t="s">
        <v>184</v>
      </c>
    </row>
    <row r="88" spans="1:1" x14ac:dyDescent="0.25">
      <c r="A88" s="1" t="s">
        <v>161</v>
      </c>
    </row>
    <row r="89" spans="1:1" x14ac:dyDescent="0.25">
      <c r="A89" s="1" t="s">
        <v>6</v>
      </c>
    </row>
    <row r="90" spans="1:1" x14ac:dyDescent="0.25">
      <c r="A90" s="1" t="s">
        <v>41</v>
      </c>
    </row>
    <row r="91" spans="1:1" x14ac:dyDescent="0.25">
      <c r="A91" s="1" t="s">
        <v>176</v>
      </c>
    </row>
    <row r="92" spans="1:1" x14ac:dyDescent="0.25">
      <c r="A92" s="1" t="s">
        <v>185</v>
      </c>
    </row>
    <row r="93" spans="1:1" x14ac:dyDescent="0.25">
      <c r="A93" s="1" t="s">
        <v>158</v>
      </c>
    </row>
    <row r="94" spans="1:1" x14ac:dyDescent="0.25">
      <c r="A94" s="1" t="s">
        <v>48</v>
      </c>
    </row>
    <row r="95" spans="1:1" x14ac:dyDescent="0.25">
      <c r="A95" s="1" t="s">
        <v>186</v>
      </c>
    </row>
    <row r="96" spans="1:1" x14ac:dyDescent="0.25">
      <c r="A96" s="1" t="s">
        <v>161</v>
      </c>
    </row>
    <row r="97" spans="1:1" x14ac:dyDescent="0.25">
      <c r="A97" s="1" t="s">
        <v>6</v>
      </c>
    </row>
    <row r="98" spans="1:1" x14ac:dyDescent="0.25">
      <c r="A98" s="1" t="s">
        <v>41</v>
      </c>
    </row>
    <row r="99" spans="1:1" x14ac:dyDescent="0.25">
      <c r="A99" s="1" t="s">
        <v>187</v>
      </c>
    </row>
    <row r="100" spans="1:1" x14ac:dyDescent="0.25">
      <c r="A100" s="1" t="s">
        <v>46</v>
      </c>
    </row>
    <row r="101" spans="1:1" x14ac:dyDescent="0.25">
      <c r="A101" s="1" t="s">
        <v>158</v>
      </c>
    </row>
    <row r="102" spans="1:1" x14ac:dyDescent="0.25">
      <c r="A102" s="1" t="s">
        <v>48</v>
      </c>
    </row>
    <row r="103" spans="1:1" x14ac:dyDescent="0.25">
      <c r="A103" s="1" t="s">
        <v>188</v>
      </c>
    </row>
    <row r="104" spans="1:1" x14ac:dyDescent="0.25">
      <c r="A104" s="1" t="s">
        <v>161</v>
      </c>
    </row>
    <row r="105" spans="1:1" x14ac:dyDescent="0.25">
      <c r="A105" s="1" t="s">
        <v>6</v>
      </c>
    </row>
    <row r="106" spans="1:1" x14ac:dyDescent="0.25">
      <c r="A106" s="1" t="s">
        <v>41</v>
      </c>
    </row>
    <row r="107" spans="1:1" x14ac:dyDescent="0.25">
      <c r="A107" s="1" t="s">
        <v>181</v>
      </c>
    </row>
    <row r="108" spans="1:1" x14ac:dyDescent="0.25">
      <c r="A108" s="1" t="s">
        <v>147</v>
      </c>
    </row>
    <row r="109" spans="1:1" x14ac:dyDescent="0.25">
      <c r="A109" s="1" t="s">
        <v>158</v>
      </c>
    </row>
    <row r="110" spans="1:1" x14ac:dyDescent="0.25">
      <c r="A110" s="1" t="s">
        <v>54</v>
      </c>
    </row>
    <row r="111" spans="1:1" x14ac:dyDescent="0.25">
      <c r="A111" s="1" t="s">
        <v>189</v>
      </c>
    </row>
    <row r="112" spans="1:1" x14ac:dyDescent="0.25">
      <c r="A112" s="1" t="s">
        <v>161</v>
      </c>
    </row>
    <row r="113" spans="1:1" x14ac:dyDescent="0.25">
      <c r="A113" s="1" t="s">
        <v>6</v>
      </c>
    </row>
    <row r="114" spans="1:1" x14ac:dyDescent="0.25">
      <c r="A114" s="1" t="s">
        <v>41</v>
      </c>
    </row>
    <row r="115" spans="1:1" x14ac:dyDescent="0.25">
      <c r="A115" s="1" t="s">
        <v>190</v>
      </c>
    </row>
    <row r="116" spans="1:1" x14ac:dyDescent="0.25">
      <c r="A116" s="1" t="s">
        <v>52</v>
      </c>
    </row>
    <row r="117" spans="1:1" x14ac:dyDescent="0.25">
      <c r="A117" s="1" t="s">
        <v>191</v>
      </c>
    </row>
    <row r="118" spans="1:1" x14ac:dyDescent="0.25">
      <c r="A118" s="1" t="s">
        <v>64</v>
      </c>
    </row>
    <row r="119" spans="1:1" x14ac:dyDescent="0.25">
      <c r="A119" s="1" t="s">
        <v>192</v>
      </c>
    </row>
    <row r="120" spans="1:1" x14ac:dyDescent="0.25">
      <c r="A120" s="1" t="s">
        <v>161</v>
      </c>
    </row>
    <row r="121" spans="1:1" x14ac:dyDescent="0.25">
      <c r="A121" s="1" t="s">
        <v>6</v>
      </c>
    </row>
    <row r="122" spans="1:1" x14ac:dyDescent="0.25">
      <c r="A122" s="1" t="s">
        <v>41</v>
      </c>
    </row>
    <row r="123" spans="1:1" x14ac:dyDescent="0.25">
      <c r="A123" s="1" t="s">
        <v>193</v>
      </c>
    </row>
    <row r="124" spans="1:1" x14ac:dyDescent="0.25">
      <c r="A124" s="1" t="s">
        <v>57</v>
      </c>
    </row>
    <row r="125" spans="1:1" x14ac:dyDescent="0.25">
      <c r="A125" s="1" t="s">
        <v>158</v>
      </c>
    </row>
    <row r="126" spans="1:1" x14ac:dyDescent="0.25">
      <c r="A126" s="1" t="s">
        <v>54</v>
      </c>
    </row>
    <row r="127" spans="1:1" x14ac:dyDescent="0.25">
      <c r="A127" s="1" t="s">
        <v>194</v>
      </c>
    </row>
    <row r="128" spans="1:1" x14ac:dyDescent="0.25">
      <c r="A128" s="1" t="s">
        <v>161</v>
      </c>
    </row>
    <row r="129" spans="1:1" x14ac:dyDescent="0.25">
      <c r="A129" s="1" t="s">
        <v>6</v>
      </c>
    </row>
    <row r="130" spans="1:1" x14ac:dyDescent="0.25">
      <c r="A130" s="1" t="s">
        <v>41</v>
      </c>
    </row>
    <row r="131" spans="1:1" x14ac:dyDescent="0.25">
      <c r="A131" s="1" t="s">
        <v>176</v>
      </c>
    </row>
    <row r="132" spans="1:1" x14ac:dyDescent="0.25">
      <c r="A132" s="1" t="s">
        <v>52</v>
      </c>
    </row>
    <row r="133" spans="1:1" x14ac:dyDescent="0.25">
      <c r="A133" s="1" t="s">
        <v>195</v>
      </c>
    </row>
    <row r="134" spans="1:1" x14ac:dyDescent="0.25">
      <c r="A134" s="1" t="s">
        <v>54</v>
      </c>
    </row>
    <row r="135" spans="1:1" x14ac:dyDescent="0.25">
      <c r="A135" s="1" t="s">
        <v>196</v>
      </c>
    </row>
    <row r="136" spans="1:1" x14ac:dyDescent="0.25">
      <c r="A136" s="1" t="s">
        <v>161</v>
      </c>
    </row>
    <row r="137" spans="1:1" x14ac:dyDescent="0.25">
      <c r="A137" s="1" t="s">
        <v>6</v>
      </c>
    </row>
    <row r="138" spans="1:1" x14ac:dyDescent="0.25">
      <c r="A138" s="1" t="s">
        <v>41</v>
      </c>
    </row>
    <row r="139" spans="1:1" x14ac:dyDescent="0.25">
      <c r="A139" s="1" t="s">
        <v>176</v>
      </c>
    </row>
    <row r="140" spans="1:1" x14ac:dyDescent="0.25">
      <c r="A140" s="1" t="s">
        <v>57</v>
      </c>
    </row>
    <row r="141" spans="1:1" x14ac:dyDescent="0.25">
      <c r="A141" s="1" t="s">
        <v>158</v>
      </c>
    </row>
    <row r="142" spans="1:1" x14ac:dyDescent="0.25">
      <c r="A142" s="1" t="s">
        <v>54</v>
      </c>
    </row>
    <row r="143" spans="1:1" x14ac:dyDescent="0.25">
      <c r="A143" s="1" t="s">
        <v>184</v>
      </c>
    </row>
    <row r="144" spans="1:1" x14ac:dyDescent="0.25">
      <c r="A144" s="1" t="s">
        <v>161</v>
      </c>
    </row>
    <row r="145" spans="1:1" x14ac:dyDescent="0.25">
      <c r="A145" s="1" t="s">
        <v>6</v>
      </c>
    </row>
    <row r="146" spans="1:1" x14ac:dyDescent="0.25">
      <c r="A146" s="1" t="s">
        <v>41</v>
      </c>
    </row>
    <row r="147" spans="1:1" x14ac:dyDescent="0.25">
      <c r="A147" s="1" t="s">
        <v>176</v>
      </c>
    </row>
    <row r="148" spans="1:1" x14ac:dyDescent="0.25">
      <c r="A148" s="1" t="s">
        <v>57</v>
      </c>
    </row>
    <row r="149" spans="1:1" x14ac:dyDescent="0.25">
      <c r="A149" s="1" t="s">
        <v>158</v>
      </c>
    </row>
    <row r="150" spans="1:1" x14ac:dyDescent="0.25">
      <c r="A150" s="1" t="s">
        <v>54</v>
      </c>
    </row>
    <row r="151" spans="1:1" x14ac:dyDescent="0.25">
      <c r="A151" s="1" t="s">
        <v>184</v>
      </c>
    </row>
    <row r="152" spans="1:1" x14ac:dyDescent="0.25">
      <c r="A152" s="1" t="s">
        <v>161</v>
      </c>
    </row>
    <row r="153" spans="1:1" x14ac:dyDescent="0.25">
      <c r="A153" s="1" t="s">
        <v>6</v>
      </c>
    </row>
    <row r="154" spans="1:1" x14ac:dyDescent="0.25">
      <c r="A154" s="1" t="s">
        <v>41</v>
      </c>
    </row>
    <row r="155" spans="1:1" x14ac:dyDescent="0.25">
      <c r="A155" s="1" t="s">
        <v>197</v>
      </c>
    </row>
    <row r="156" spans="1:1" x14ac:dyDescent="0.25">
      <c r="A156" s="1" t="s">
        <v>143</v>
      </c>
    </row>
    <row r="157" spans="1:1" x14ac:dyDescent="0.25">
      <c r="A157" s="1" t="s">
        <v>198</v>
      </c>
    </row>
    <row r="158" spans="1:1" x14ac:dyDescent="0.25">
      <c r="A158" s="1" t="s">
        <v>64</v>
      </c>
    </row>
    <row r="159" spans="1:1" x14ac:dyDescent="0.25">
      <c r="A159" s="1" t="s">
        <v>199</v>
      </c>
    </row>
    <row r="160" spans="1:1" x14ac:dyDescent="0.25">
      <c r="A160" s="1" t="s">
        <v>161</v>
      </c>
    </row>
    <row r="161" spans="1:1" x14ac:dyDescent="0.25">
      <c r="A161" s="1" t="s">
        <v>6</v>
      </c>
    </row>
    <row r="162" spans="1:1" x14ac:dyDescent="0.25">
      <c r="A162" s="1" t="s">
        <v>41</v>
      </c>
    </row>
    <row r="163" spans="1:1" x14ac:dyDescent="0.25">
      <c r="A163" s="1" t="s">
        <v>176</v>
      </c>
    </row>
    <row r="164" spans="1:1" x14ac:dyDescent="0.25">
      <c r="A164" s="1" t="s">
        <v>147</v>
      </c>
    </row>
    <row r="165" spans="1:1" x14ac:dyDescent="0.25">
      <c r="A165" s="1" t="s">
        <v>200</v>
      </c>
    </row>
    <row r="166" spans="1:1" x14ac:dyDescent="0.25">
      <c r="A166" s="1" t="s">
        <v>159</v>
      </c>
    </row>
    <row r="167" spans="1:1" x14ac:dyDescent="0.25">
      <c r="A167" s="1" t="s">
        <v>177</v>
      </c>
    </row>
    <row r="168" spans="1:1" x14ac:dyDescent="0.25">
      <c r="A168" s="1" t="s">
        <v>161</v>
      </c>
    </row>
    <row r="169" spans="1:1" x14ac:dyDescent="0.25">
      <c r="A169" s="1" t="s">
        <v>6</v>
      </c>
    </row>
    <row r="170" spans="1:1" x14ac:dyDescent="0.25">
      <c r="A170" s="1" t="s">
        <v>41</v>
      </c>
    </row>
    <row r="171" spans="1:1" x14ac:dyDescent="0.25">
      <c r="A171" s="1" t="s">
        <v>176</v>
      </c>
    </row>
    <row r="172" spans="1:1" x14ac:dyDescent="0.25">
      <c r="A172" s="1" t="s">
        <v>143</v>
      </c>
    </row>
    <row r="173" spans="1:1" x14ac:dyDescent="0.25">
      <c r="A173" s="1" t="s">
        <v>201</v>
      </c>
    </row>
    <row r="174" spans="1:1" x14ac:dyDescent="0.25">
      <c r="A174" s="1" t="s">
        <v>64</v>
      </c>
    </row>
    <row r="175" spans="1:1" x14ac:dyDescent="0.25">
      <c r="A175" s="1" t="s">
        <v>184</v>
      </c>
    </row>
    <row r="176" spans="1:1" x14ac:dyDescent="0.25">
      <c r="A176" s="1" t="s">
        <v>161</v>
      </c>
    </row>
    <row r="177" spans="1:1" x14ac:dyDescent="0.25">
      <c r="A177" s="1" t="s">
        <v>6</v>
      </c>
    </row>
    <row r="178" spans="1:1" x14ac:dyDescent="0.25">
      <c r="A178" s="1" t="s">
        <v>41</v>
      </c>
    </row>
    <row r="179" spans="1:1" x14ac:dyDescent="0.25">
      <c r="A179" s="1" t="s">
        <v>156</v>
      </c>
    </row>
    <row r="180" spans="1:1" x14ac:dyDescent="0.25">
      <c r="A180" s="1" t="s">
        <v>147</v>
      </c>
    </row>
    <row r="181" spans="1:1" x14ac:dyDescent="0.25">
      <c r="A181" s="1" t="s">
        <v>158</v>
      </c>
    </row>
    <row r="182" spans="1:1" x14ac:dyDescent="0.25">
      <c r="A182" s="1" t="s">
        <v>159</v>
      </c>
    </row>
    <row r="183" spans="1:1" x14ac:dyDescent="0.25">
      <c r="A183" s="1" t="s">
        <v>202</v>
      </c>
    </row>
    <row r="184" spans="1:1" x14ac:dyDescent="0.25">
      <c r="A184" s="1" t="s">
        <v>161</v>
      </c>
    </row>
    <row r="185" spans="1:1" x14ac:dyDescent="0.25">
      <c r="A185" s="1" t="s">
        <v>6</v>
      </c>
    </row>
    <row r="186" spans="1:1" x14ac:dyDescent="0.25">
      <c r="A186" s="1" t="s">
        <v>41</v>
      </c>
    </row>
    <row r="187" spans="1:1" x14ac:dyDescent="0.25">
      <c r="A187" s="1" t="s">
        <v>203</v>
      </c>
    </row>
    <row r="188" spans="1:1" x14ac:dyDescent="0.25">
      <c r="A188" s="1" t="s">
        <v>204</v>
      </c>
    </row>
    <row r="189" spans="1:1" x14ac:dyDescent="0.25">
      <c r="A189" s="1" t="s">
        <v>158</v>
      </c>
    </row>
    <row r="190" spans="1:1" x14ac:dyDescent="0.25">
      <c r="A190" s="1" t="s">
        <v>64</v>
      </c>
    </row>
    <row r="191" spans="1:1" x14ac:dyDescent="0.25">
      <c r="A191" s="1" t="s">
        <v>182</v>
      </c>
    </row>
    <row r="192" spans="1:1" x14ac:dyDescent="0.25">
      <c r="A192" s="1" t="s">
        <v>161</v>
      </c>
    </row>
    <row r="193" spans="1:1" x14ac:dyDescent="0.25">
      <c r="A193" s="1" t="s">
        <v>6</v>
      </c>
    </row>
    <row r="194" spans="1:1" x14ac:dyDescent="0.25">
      <c r="A194" s="1" t="s">
        <v>41</v>
      </c>
    </row>
    <row r="195" spans="1:1" x14ac:dyDescent="0.25">
      <c r="A195" s="1" t="s">
        <v>168</v>
      </c>
    </row>
    <row r="196" spans="1:1" x14ac:dyDescent="0.25">
      <c r="A196" s="1" t="s">
        <v>143</v>
      </c>
    </row>
    <row r="197" spans="1:1" x14ac:dyDescent="0.25">
      <c r="A197" s="1" t="s">
        <v>205</v>
      </c>
    </row>
    <row r="198" spans="1:1" x14ac:dyDescent="0.25">
      <c r="A198" s="1" t="s">
        <v>69</v>
      </c>
    </row>
    <row r="199" spans="1:1" x14ac:dyDescent="0.25">
      <c r="A199" s="1" t="s">
        <v>206</v>
      </c>
    </row>
    <row r="200" spans="1:1" x14ac:dyDescent="0.25">
      <c r="A200" s="1" t="s">
        <v>161</v>
      </c>
    </row>
    <row r="201" spans="1:1" x14ac:dyDescent="0.25">
      <c r="A201" s="1" t="s">
        <v>6</v>
      </c>
    </row>
    <row r="202" spans="1:1" x14ac:dyDescent="0.25">
      <c r="A202" s="1" t="s">
        <v>41</v>
      </c>
    </row>
    <row r="203" spans="1:1" x14ac:dyDescent="0.25">
      <c r="A203" s="1" t="s">
        <v>168</v>
      </c>
    </row>
    <row r="204" spans="1:1" x14ac:dyDescent="0.25">
      <c r="A204" s="1" t="s">
        <v>143</v>
      </c>
    </row>
    <row r="205" spans="1:1" x14ac:dyDescent="0.25">
      <c r="A205" s="1" t="s">
        <v>205</v>
      </c>
    </row>
    <row r="206" spans="1:1" x14ac:dyDescent="0.25">
      <c r="A206" s="1" t="s">
        <v>69</v>
      </c>
    </row>
    <row r="207" spans="1:1" x14ac:dyDescent="0.25">
      <c r="A207" s="1" t="s">
        <v>207</v>
      </c>
    </row>
    <row r="208" spans="1:1" x14ac:dyDescent="0.25">
      <c r="A208" s="1" t="s">
        <v>161</v>
      </c>
    </row>
    <row r="209" spans="1:1" x14ac:dyDescent="0.25">
      <c r="A209" s="1" t="s">
        <v>6</v>
      </c>
    </row>
    <row r="210" spans="1:1" x14ac:dyDescent="0.25">
      <c r="A210" s="1" t="s">
        <v>41</v>
      </c>
    </row>
    <row r="211" spans="1:1" x14ac:dyDescent="0.25">
      <c r="A211" s="1" t="s">
        <v>165</v>
      </c>
    </row>
    <row r="212" spans="1:1" x14ac:dyDescent="0.25">
      <c r="A212" s="1" t="s">
        <v>143</v>
      </c>
    </row>
    <row r="213" spans="1:1" x14ac:dyDescent="0.25">
      <c r="A213" s="1" t="s">
        <v>208</v>
      </c>
    </row>
    <row r="214" spans="1:1" x14ac:dyDescent="0.25">
      <c r="A214" s="1" t="s">
        <v>69</v>
      </c>
    </row>
    <row r="215" spans="1:1" x14ac:dyDescent="0.25">
      <c r="A215" s="1" t="s">
        <v>209</v>
      </c>
    </row>
    <row r="216" spans="1:1" x14ac:dyDescent="0.25">
      <c r="A216" s="1" t="s">
        <v>161</v>
      </c>
    </row>
    <row r="217" spans="1:1" x14ac:dyDescent="0.25">
      <c r="A217" s="1" t="s">
        <v>6</v>
      </c>
    </row>
    <row r="218" spans="1:1" x14ac:dyDescent="0.25">
      <c r="A218" s="1" t="s">
        <v>41</v>
      </c>
    </row>
    <row r="219" spans="1:1" x14ac:dyDescent="0.25">
      <c r="A219" s="1" t="s">
        <v>168</v>
      </c>
    </row>
    <row r="220" spans="1:1" x14ac:dyDescent="0.25">
      <c r="A220" s="1" t="s">
        <v>210</v>
      </c>
    </row>
    <row r="221" spans="1:1" x14ac:dyDescent="0.25">
      <c r="A221" s="1" t="s">
        <v>211</v>
      </c>
    </row>
    <row r="222" spans="1:1" x14ac:dyDescent="0.25">
      <c r="A222" s="1" t="s">
        <v>149</v>
      </c>
    </row>
    <row r="223" spans="1:1" x14ac:dyDescent="0.25">
      <c r="A223" s="1" t="s">
        <v>212</v>
      </c>
    </row>
    <row r="224" spans="1:1" x14ac:dyDescent="0.25">
      <c r="A224" s="1" t="s">
        <v>161</v>
      </c>
    </row>
    <row r="225" spans="1:1" x14ac:dyDescent="0.25">
      <c r="A225" s="1" t="s">
        <v>6</v>
      </c>
    </row>
    <row r="226" spans="1:1" x14ac:dyDescent="0.25">
      <c r="A226" s="1" t="s">
        <v>41</v>
      </c>
    </row>
    <row r="227" spans="1:1" x14ac:dyDescent="0.25">
      <c r="A227" s="1" t="s">
        <v>176</v>
      </c>
    </row>
    <row r="228" spans="1:1" x14ac:dyDescent="0.25">
      <c r="A228" s="1" t="s">
        <v>46</v>
      </c>
    </row>
    <row r="229" spans="1:1" x14ac:dyDescent="0.25">
      <c r="A229" s="1" t="s">
        <v>158</v>
      </c>
    </row>
    <row r="230" spans="1:1" x14ac:dyDescent="0.25">
      <c r="A230" s="1" t="s">
        <v>48</v>
      </c>
    </row>
    <row r="231" spans="1:1" x14ac:dyDescent="0.25">
      <c r="A231" s="1" t="s">
        <v>186</v>
      </c>
    </row>
    <row r="232" spans="1:1" x14ac:dyDescent="0.25">
      <c r="A232" s="1" t="s">
        <v>161</v>
      </c>
    </row>
    <row r="233" spans="1:1" x14ac:dyDescent="0.25">
      <c r="A233" s="1" t="s">
        <v>6</v>
      </c>
    </row>
    <row r="234" spans="1:1" x14ac:dyDescent="0.25">
      <c r="A234" s="1" t="s">
        <v>41</v>
      </c>
    </row>
    <row r="235" spans="1:1" x14ac:dyDescent="0.25">
      <c r="A235" s="1" t="s">
        <v>156</v>
      </c>
    </row>
    <row r="236" spans="1:1" x14ac:dyDescent="0.25">
      <c r="A236" s="1" t="s">
        <v>185</v>
      </c>
    </row>
    <row r="237" spans="1:1" x14ac:dyDescent="0.25">
      <c r="A237" s="1" t="s">
        <v>53</v>
      </c>
    </row>
    <row r="238" spans="1:1" x14ac:dyDescent="0.25">
      <c r="A238" s="1" t="s">
        <v>54</v>
      </c>
    </row>
    <row r="239" spans="1:1" x14ac:dyDescent="0.25">
      <c r="A239" s="1" t="s">
        <v>213</v>
      </c>
    </row>
    <row r="240" spans="1:1" x14ac:dyDescent="0.25">
      <c r="A240" s="1" t="s">
        <v>161</v>
      </c>
    </row>
    <row r="241" spans="1:1" x14ac:dyDescent="0.25">
      <c r="A241" s="1" t="s">
        <v>6</v>
      </c>
    </row>
    <row r="242" spans="1:1" x14ac:dyDescent="0.25">
      <c r="A242" s="1" t="s">
        <v>41</v>
      </c>
    </row>
    <row r="243" spans="1:1" x14ac:dyDescent="0.25">
      <c r="A243" s="1" t="s">
        <v>156</v>
      </c>
    </row>
    <row r="244" spans="1:1" x14ac:dyDescent="0.25">
      <c r="A244" s="1" t="s">
        <v>52</v>
      </c>
    </row>
    <row r="245" spans="1:1" x14ac:dyDescent="0.25">
      <c r="A245" s="1" t="s">
        <v>53</v>
      </c>
    </row>
    <row r="246" spans="1:1" x14ac:dyDescent="0.25">
      <c r="A246" s="1" t="s">
        <v>54</v>
      </c>
    </row>
    <row r="247" spans="1:1" x14ac:dyDescent="0.25">
      <c r="A247" s="1" t="s">
        <v>214</v>
      </c>
    </row>
    <row r="248" spans="1:1" x14ac:dyDescent="0.25">
      <c r="A248" s="1" t="s">
        <v>161</v>
      </c>
    </row>
    <row r="249" spans="1:1" x14ac:dyDescent="0.25">
      <c r="A249" s="1" t="s">
        <v>6</v>
      </c>
    </row>
    <row r="250" spans="1:1" x14ac:dyDescent="0.25">
      <c r="A250" s="1" t="s">
        <v>41</v>
      </c>
    </row>
    <row r="251" spans="1:1" x14ac:dyDescent="0.25">
      <c r="A251" s="1" t="s">
        <v>176</v>
      </c>
    </row>
    <row r="252" spans="1:1" x14ac:dyDescent="0.25">
      <c r="A252" s="1" t="s">
        <v>46</v>
      </c>
    </row>
    <row r="253" spans="1:1" x14ac:dyDescent="0.25">
      <c r="A253" s="1" t="s">
        <v>178</v>
      </c>
    </row>
    <row r="254" spans="1:1" x14ac:dyDescent="0.25">
      <c r="A254" s="1" t="s">
        <v>48</v>
      </c>
    </row>
    <row r="255" spans="1:1" x14ac:dyDescent="0.25">
      <c r="A255" s="1" t="s">
        <v>215</v>
      </c>
    </row>
    <row r="256" spans="1:1" x14ac:dyDescent="0.25">
      <c r="A256" s="1" t="s">
        <v>161</v>
      </c>
    </row>
    <row r="257" spans="1:1" x14ac:dyDescent="0.25">
      <c r="A257" s="1" t="s">
        <v>6</v>
      </c>
    </row>
    <row r="258" spans="1:1" x14ac:dyDescent="0.25">
      <c r="A258" s="1" t="s">
        <v>41</v>
      </c>
    </row>
    <row r="259" spans="1:1" x14ac:dyDescent="0.25">
      <c r="A259" s="1" t="s">
        <v>216</v>
      </c>
    </row>
    <row r="260" spans="1:1" x14ac:dyDescent="0.25">
      <c r="A260" s="1" t="s">
        <v>52</v>
      </c>
    </row>
    <row r="261" spans="1:1" x14ac:dyDescent="0.25">
      <c r="A261" s="1" t="s">
        <v>158</v>
      </c>
    </row>
    <row r="262" spans="1:1" x14ac:dyDescent="0.25">
      <c r="A262" s="1" t="s">
        <v>54</v>
      </c>
    </row>
    <row r="263" spans="1:1" x14ac:dyDescent="0.25">
      <c r="A263" s="1" t="s">
        <v>217</v>
      </c>
    </row>
    <row r="264" spans="1:1" x14ac:dyDescent="0.25">
      <c r="A264" s="1" t="s">
        <v>161</v>
      </c>
    </row>
    <row r="265" spans="1:1" x14ac:dyDescent="0.25">
      <c r="A265" s="1" t="s">
        <v>6</v>
      </c>
    </row>
    <row r="266" spans="1:1" x14ac:dyDescent="0.25">
      <c r="A266" s="1" t="s">
        <v>41</v>
      </c>
    </row>
    <row r="267" spans="1:1" x14ac:dyDescent="0.25">
      <c r="A267" s="1" t="s">
        <v>156</v>
      </c>
    </row>
    <row r="268" spans="1:1" x14ac:dyDescent="0.25">
      <c r="A268" s="1" t="s">
        <v>57</v>
      </c>
    </row>
    <row r="269" spans="1:1" x14ac:dyDescent="0.25">
      <c r="A269" s="1" t="s">
        <v>158</v>
      </c>
    </row>
    <row r="270" spans="1:1" x14ac:dyDescent="0.25">
      <c r="A270" s="1" t="s">
        <v>54</v>
      </c>
    </row>
    <row r="271" spans="1:1" x14ac:dyDescent="0.25">
      <c r="A271" s="1" t="s">
        <v>194</v>
      </c>
    </row>
    <row r="272" spans="1:1" x14ac:dyDescent="0.25">
      <c r="A272" s="1" t="s">
        <v>161</v>
      </c>
    </row>
    <row r="273" spans="1:1" x14ac:dyDescent="0.25">
      <c r="A273" s="1" t="s">
        <v>6</v>
      </c>
    </row>
    <row r="274" spans="1:1" x14ac:dyDescent="0.25">
      <c r="A274" s="1" t="s">
        <v>41</v>
      </c>
    </row>
    <row r="275" spans="1:1" x14ac:dyDescent="0.25">
      <c r="A275" s="1" t="s">
        <v>168</v>
      </c>
    </row>
    <row r="276" spans="1:1" x14ac:dyDescent="0.25">
      <c r="A276" s="1" t="s">
        <v>57</v>
      </c>
    </row>
    <row r="277" spans="1:1" x14ac:dyDescent="0.25">
      <c r="A277" s="1" t="s">
        <v>158</v>
      </c>
    </row>
    <row r="278" spans="1:1" x14ac:dyDescent="0.25">
      <c r="A278" s="1" t="s">
        <v>299</v>
      </c>
    </row>
    <row r="279" spans="1:1" x14ac:dyDescent="0.25">
      <c r="A279" s="1" t="s">
        <v>217</v>
      </c>
    </row>
    <row r="280" spans="1:1" x14ac:dyDescent="0.25">
      <c r="A280" s="1" t="s">
        <v>161</v>
      </c>
    </row>
    <row r="281" spans="1:1" x14ac:dyDescent="0.25">
      <c r="A281" s="1" t="s">
        <v>6</v>
      </c>
    </row>
    <row r="282" spans="1:1" x14ac:dyDescent="0.25">
      <c r="A282" s="1" t="s">
        <v>41</v>
      </c>
    </row>
    <row r="283" spans="1:1" x14ac:dyDescent="0.25">
      <c r="A283" s="1" t="s">
        <v>170</v>
      </c>
    </row>
    <row r="284" spans="1:1" x14ac:dyDescent="0.25">
      <c r="A284" s="1" t="s">
        <v>57</v>
      </c>
    </row>
    <row r="285" spans="1:1" x14ac:dyDescent="0.25">
      <c r="A285" s="1" t="s">
        <v>158</v>
      </c>
    </row>
    <row r="286" spans="1:1" x14ac:dyDescent="0.25">
      <c r="A286" s="1" t="s">
        <v>54</v>
      </c>
    </row>
    <row r="287" spans="1:1" x14ac:dyDescent="0.25">
      <c r="A287" s="1" t="s">
        <v>320</v>
      </c>
    </row>
    <row r="288" spans="1:1" x14ac:dyDescent="0.25">
      <c r="A288" s="1" t="s">
        <v>161</v>
      </c>
    </row>
    <row r="289" spans="1:1" x14ac:dyDescent="0.25">
      <c r="A289" s="1" t="s">
        <v>6</v>
      </c>
    </row>
    <row r="290" spans="1:1" x14ac:dyDescent="0.25">
      <c r="A290" s="1" t="s">
        <v>41</v>
      </c>
    </row>
    <row r="291" spans="1:1" x14ac:dyDescent="0.25">
      <c r="A291" s="1" t="s">
        <v>170</v>
      </c>
    </row>
    <row r="292" spans="1:1" x14ac:dyDescent="0.25">
      <c r="A292" s="1" t="s">
        <v>204</v>
      </c>
    </row>
    <row r="293" spans="1:1" x14ac:dyDescent="0.25">
      <c r="A293" s="1" t="s">
        <v>158</v>
      </c>
    </row>
    <row r="294" spans="1:1" x14ac:dyDescent="0.25">
      <c r="A294" s="1" t="s">
        <v>159</v>
      </c>
    </row>
    <row r="295" spans="1:1" x14ac:dyDescent="0.25">
      <c r="A295" s="1" t="s">
        <v>321</v>
      </c>
    </row>
    <row r="296" spans="1:1" x14ac:dyDescent="0.25">
      <c r="A296" s="1" t="s">
        <v>161</v>
      </c>
    </row>
    <row r="297" spans="1:1" x14ac:dyDescent="0.25">
      <c r="A297" s="1" t="s">
        <v>6</v>
      </c>
    </row>
    <row r="298" spans="1:1" x14ac:dyDescent="0.25">
      <c r="A298" s="1" t="s">
        <v>41</v>
      </c>
    </row>
    <row r="299" spans="1:1" x14ac:dyDescent="0.25">
      <c r="A299" s="1" t="s">
        <v>176</v>
      </c>
    </row>
    <row r="300" spans="1:1" x14ac:dyDescent="0.25">
      <c r="A300" s="1" t="s">
        <v>57</v>
      </c>
    </row>
    <row r="301" spans="1:1" x14ac:dyDescent="0.25">
      <c r="A301" s="1" t="s">
        <v>158</v>
      </c>
    </row>
    <row r="302" spans="1:1" x14ac:dyDescent="0.25">
      <c r="A302" s="1" t="s">
        <v>54</v>
      </c>
    </row>
    <row r="303" spans="1:1" x14ac:dyDescent="0.25">
      <c r="A303" s="1" t="s">
        <v>194</v>
      </c>
    </row>
    <row r="304" spans="1:1" x14ac:dyDescent="0.25">
      <c r="A304" s="1" t="s">
        <v>161</v>
      </c>
    </row>
    <row r="305" spans="1:1" x14ac:dyDescent="0.25">
      <c r="A305" s="1" t="s">
        <v>6</v>
      </c>
    </row>
    <row r="306" spans="1:1" x14ac:dyDescent="0.25">
      <c r="A306" s="1" t="s">
        <v>41</v>
      </c>
    </row>
    <row r="307" spans="1:1" x14ac:dyDescent="0.25">
      <c r="A307" s="1" t="s">
        <v>176</v>
      </c>
    </row>
    <row r="308" spans="1:1" x14ac:dyDescent="0.25">
      <c r="A308" s="1" t="s">
        <v>57</v>
      </c>
    </row>
    <row r="309" spans="1:1" x14ac:dyDescent="0.25">
      <c r="A309" s="1" t="s">
        <v>158</v>
      </c>
    </row>
    <row r="310" spans="1:1" x14ac:dyDescent="0.25">
      <c r="A310" s="1" t="s">
        <v>54</v>
      </c>
    </row>
    <row r="311" spans="1:1" x14ac:dyDescent="0.25">
      <c r="A311" s="1" t="s">
        <v>336</v>
      </c>
    </row>
    <row r="312" spans="1:1" x14ac:dyDescent="0.25">
      <c r="A312" s="1" t="s">
        <v>161</v>
      </c>
    </row>
    <row r="313" spans="1:1" x14ac:dyDescent="0.25">
      <c r="A313" s="1" t="s">
        <v>6</v>
      </c>
    </row>
    <row r="314" spans="1:1" x14ac:dyDescent="0.25">
      <c r="A314" s="1" t="s">
        <v>41</v>
      </c>
    </row>
    <row r="315" spans="1:1" x14ac:dyDescent="0.25">
      <c r="A315" s="1" t="s">
        <v>337</v>
      </c>
    </row>
    <row r="316" spans="1:1" x14ac:dyDescent="0.25">
      <c r="A316" s="1" t="s">
        <v>204</v>
      </c>
    </row>
    <row r="317" spans="1:1" x14ac:dyDescent="0.25">
      <c r="A317" s="1" t="s">
        <v>158</v>
      </c>
    </row>
    <row r="318" spans="1:1" x14ac:dyDescent="0.25">
      <c r="A318" s="1" t="s">
        <v>159</v>
      </c>
    </row>
    <row r="319" spans="1:1" x14ac:dyDescent="0.25">
      <c r="A319" s="1" t="s">
        <v>320</v>
      </c>
    </row>
    <row r="320" spans="1:1" x14ac:dyDescent="0.25">
      <c r="A320" s="1" t="s">
        <v>161</v>
      </c>
    </row>
    <row r="321" spans="1:1" x14ac:dyDescent="0.25">
      <c r="A321" s="1" t="s">
        <v>6</v>
      </c>
    </row>
    <row r="322" spans="1:1" x14ac:dyDescent="0.25">
      <c r="A322" s="1" t="s">
        <v>41</v>
      </c>
    </row>
    <row r="323" spans="1:1" x14ac:dyDescent="0.25">
      <c r="A323" s="1" t="s">
        <v>165</v>
      </c>
    </row>
    <row r="324" spans="1:1" x14ac:dyDescent="0.25">
      <c r="A324" s="1" t="s">
        <v>147</v>
      </c>
    </row>
    <row r="325" spans="1:1" x14ac:dyDescent="0.25">
      <c r="A325" s="1" t="s">
        <v>158</v>
      </c>
    </row>
    <row r="326" spans="1:1" x14ac:dyDescent="0.25">
      <c r="A326" s="1" t="s">
        <v>69</v>
      </c>
    </row>
    <row r="327" spans="1:1" x14ac:dyDescent="0.25">
      <c r="A327" s="1" t="s">
        <v>338</v>
      </c>
    </row>
    <row r="328" spans="1:1" x14ac:dyDescent="0.25">
      <c r="A328" s="1" t="s">
        <v>161</v>
      </c>
    </row>
    <row r="329" spans="1:1" x14ac:dyDescent="0.25">
      <c r="A329" s="1" t="s">
        <v>6</v>
      </c>
    </row>
    <row r="330" spans="1:1" x14ac:dyDescent="0.25">
      <c r="A330" s="1" t="s">
        <v>41</v>
      </c>
    </row>
    <row r="331" spans="1:1" x14ac:dyDescent="0.25">
      <c r="A331" s="1" t="s">
        <v>216</v>
      </c>
    </row>
    <row r="332" spans="1:1" x14ac:dyDescent="0.25">
      <c r="A332" s="1" t="s">
        <v>52</v>
      </c>
    </row>
    <row r="333" spans="1:1" x14ac:dyDescent="0.25">
      <c r="A333" s="1" t="s">
        <v>158</v>
      </c>
    </row>
    <row r="334" spans="1:1" x14ac:dyDescent="0.25">
      <c r="A334" s="1" t="s">
        <v>54</v>
      </c>
    </row>
    <row r="335" spans="1:1" x14ac:dyDescent="0.25">
      <c r="A335" s="1" t="s">
        <v>183</v>
      </c>
    </row>
    <row r="336" spans="1:1" x14ac:dyDescent="0.25">
      <c r="A336" s="1" t="s">
        <v>161</v>
      </c>
    </row>
    <row r="337" spans="1:1" x14ac:dyDescent="0.25">
      <c r="A337" s="1" t="s">
        <v>6</v>
      </c>
    </row>
    <row r="338" spans="1:1" x14ac:dyDescent="0.25">
      <c r="A338" s="1" t="s">
        <v>41</v>
      </c>
    </row>
    <row r="339" spans="1:1" x14ac:dyDescent="0.25">
      <c r="A339" s="1" t="s">
        <v>276</v>
      </c>
    </row>
    <row r="340" spans="1:1" x14ac:dyDescent="0.25">
      <c r="A340" s="1" t="s">
        <v>46</v>
      </c>
    </row>
    <row r="341" spans="1:1" x14ac:dyDescent="0.25">
      <c r="A341" s="1" t="s">
        <v>377</v>
      </c>
    </row>
    <row r="342" spans="1:1" x14ac:dyDescent="0.25">
      <c r="A342" s="1" t="s">
        <v>149</v>
      </c>
    </row>
    <row r="343" spans="1:1" x14ac:dyDescent="0.25">
      <c r="A343" s="1" t="s">
        <v>378</v>
      </c>
    </row>
    <row r="344" spans="1:1" x14ac:dyDescent="0.25">
      <c r="A344" s="1" t="s">
        <v>161</v>
      </c>
    </row>
    <row r="345" spans="1:1" x14ac:dyDescent="0.25">
      <c r="A345" s="1" t="s">
        <v>6</v>
      </c>
    </row>
    <row r="346" spans="1:1" x14ac:dyDescent="0.25">
      <c r="A346" s="1" t="s">
        <v>41</v>
      </c>
    </row>
    <row r="347" spans="1:1" x14ac:dyDescent="0.25">
      <c r="A347" s="1" t="s">
        <v>168</v>
      </c>
    </row>
    <row r="348" spans="1:1" x14ac:dyDescent="0.25">
      <c r="A348" s="1" t="s">
        <v>143</v>
      </c>
    </row>
    <row r="349" spans="1:1" x14ac:dyDescent="0.25">
      <c r="A349" s="1" t="s">
        <v>385</v>
      </c>
    </row>
    <row r="350" spans="1:1" x14ac:dyDescent="0.25">
      <c r="A350" s="1" t="s">
        <v>64</v>
      </c>
    </row>
    <row r="351" spans="1:1" x14ac:dyDescent="0.25">
      <c r="A351" s="1" t="s">
        <v>386</v>
      </c>
    </row>
    <row r="352" spans="1:1" x14ac:dyDescent="0.25">
      <c r="A352" s="1" t="s">
        <v>161</v>
      </c>
    </row>
    <row r="353" spans="1:1" x14ac:dyDescent="0.25">
      <c r="A353" s="1" t="s">
        <v>6</v>
      </c>
    </row>
    <row r="354" spans="1:1" x14ac:dyDescent="0.25">
      <c r="A354" s="1" t="s">
        <v>41</v>
      </c>
    </row>
    <row r="355" spans="1:1" x14ac:dyDescent="0.25">
      <c r="A355" s="1" t="s">
        <v>203</v>
      </c>
    </row>
    <row r="356" spans="1:1" x14ac:dyDescent="0.25">
      <c r="A356" s="1" t="s">
        <v>46</v>
      </c>
    </row>
    <row r="357" spans="1:1" x14ac:dyDescent="0.25">
      <c r="A357" s="1" t="s">
        <v>387</v>
      </c>
    </row>
    <row r="358" spans="1:1" x14ac:dyDescent="0.25">
      <c r="A358" s="1" t="s">
        <v>48</v>
      </c>
    </row>
    <row r="359" spans="1:1" x14ac:dyDescent="0.25">
      <c r="A359" s="1" t="s">
        <v>388</v>
      </c>
    </row>
    <row r="360" spans="1:1" x14ac:dyDescent="0.25">
      <c r="A360" s="1" t="s">
        <v>161</v>
      </c>
    </row>
    <row r="361" spans="1:1" x14ac:dyDescent="0.25">
      <c r="A361" s="1" t="s">
        <v>6</v>
      </c>
    </row>
    <row r="362" spans="1:1" x14ac:dyDescent="0.25">
      <c r="A362" s="1" t="s">
        <v>41</v>
      </c>
    </row>
    <row r="363" spans="1:1" x14ac:dyDescent="0.25">
      <c r="A363" s="1" t="s">
        <v>203</v>
      </c>
    </row>
    <row r="364" spans="1:1" x14ac:dyDescent="0.25">
      <c r="A364" s="1" t="s">
        <v>46</v>
      </c>
    </row>
    <row r="365" spans="1:1" x14ac:dyDescent="0.25">
      <c r="A365" s="1" t="s">
        <v>387</v>
      </c>
    </row>
    <row r="366" spans="1:1" x14ac:dyDescent="0.25">
      <c r="A366" s="1" t="s">
        <v>48</v>
      </c>
    </row>
    <row r="367" spans="1:1" x14ac:dyDescent="0.25">
      <c r="A367" s="1" t="s">
        <v>215</v>
      </c>
    </row>
    <row r="368" spans="1:1" x14ac:dyDescent="0.25">
      <c r="A368" s="1" t="s">
        <v>161</v>
      </c>
    </row>
    <row r="369" spans="1:1" x14ac:dyDescent="0.25">
      <c r="A369" s="1" t="s">
        <v>6</v>
      </c>
    </row>
    <row r="370" spans="1:1" x14ac:dyDescent="0.25">
      <c r="A370" s="1" t="s">
        <v>41</v>
      </c>
    </row>
    <row r="371" spans="1:1" x14ac:dyDescent="0.25">
      <c r="A371" s="1" t="s">
        <v>168</v>
      </c>
    </row>
    <row r="372" spans="1:1" x14ac:dyDescent="0.25">
      <c r="A372" s="1" t="s">
        <v>143</v>
      </c>
    </row>
    <row r="373" spans="1:1" x14ac:dyDescent="0.25">
      <c r="A373" s="1" t="s">
        <v>244</v>
      </c>
    </row>
    <row r="374" spans="1:1" x14ac:dyDescent="0.25">
      <c r="A374" s="1" t="s">
        <v>159</v>
      </c>
    </row>
    <row r="375" spans="1:1" x14ac:dyDescent="0.25">
      <c r="A375" s="1" t="s">
        <v>389</v>
      </c>
    </row>
    <row r="376" spans="1:1" x14ac:dyDescent="0.25">
      <c r="A376" s="1" t="s">
        <v>161</v>
      </c>
    </row>
    <row r="377" spans="1:1" x14ac:dyDescent="0.25">
      <c r="A377" s="1" t="s">
        <v>6</v>
      </c>
    </row>
    <row r="378" spans="1:1" x14ac:dyDescent="0.25">
      <c r="A378" s="1" t="s">
        <v>41</v>
      </c>
    </row>
    <row r="379" spans="1:1" x14ac:dyDescent="0.25">
      <c r="A379" s="1" t="s">
        <v>168</v>
      </c>
    </row>
    <row r="380" spans="1:1" x14ac:dyDescent="0.25">
      <c r="A380" s="1" t="s">
        <v>52</v>
      </c>
    </row>
    <row r="381" spans="1:1" x14ac:dyDescent="0.25">
      <c r="A381" s="1" t="s">
        <v>158</v>
      </c>
    </row>
    <row r="382" spans="1:1" x14ac:dyDescent="0.25">
      <c r="A382" s="1" t="s">
        <v>54</v>
      </c>
    </row>
    <row r="383" spans="1:1" x14ac:dyDescent="0.25">
      <c r="A383" s="1" t="s">
        <v>158</v>
      </c>
    </row>
    <row r="384" spans="1:1" x14ac:dyDescent="0.25">
      <c r="A384" s="1" t="s">
        <v>161</v>
      </c>
    </row>
    <row r="385" spans="1:1" x14ac:dyDescent="0.25">
      <c r="A385" s="1" t="s">
        <v>6</v>
      </c>
    </row>
    <row r="386" spans="1:1" x14ac:dyDescent="0.25">
      <c r="A386" s="1" t="s">
        <v>41</v>
      </c>
    </row>
    <row r="387" spans="1:1" x14ac:dyDescent="0.25">
      <c r="A387" s="1" t="s">
        <v>176</v>
      </c>
    </row>
    <row r="388" spans="1:1" x14ac:dyDescent="0.25">
      <c r="A388" s="1" t="s">
        <v>57</v>
      </c>
    </row>
    <row r="389" spans="1:1" x14ac:dyDescent="0.25">
      <c r="A389" s="1" t="s">
        <v>158</v>
      </c>
    </row>
    <row r="390" spans="1:1" x14ac:dyDescent="0.25">
      <c r="A390" s="1" t="s">
        <v>54</v>
      </c>
    </row>
    <row r="391" spans="1:1" x14ac:dyDescent="0.25">
      <c r="A391" s="1" t="s">
        <v>390</v>
      </c>
    </row>
    <row r="392" spans="1:1" x14ac:dyDescent="0.25">
      <c r="A392" s="1" t="s">
        <v>161</v>
      </c>
    </row>
    <row r="393" spans="1:1" x14ac:dyDescent="0.25">
      <c r="A393" s="1" t="s">
        <v>6</v>
      </c>
    </row>
    <row r="394" spans="1:1" x14ac:dyDescent="0.25">
      <c r="A394" s="1" t="s">
        <v>41</v>
      </c>
    </row>
    <row r="395" spans="1:1" x14ac:dyDescent="0.25">
      <c r="A395" s="1" t="s">
        <v>176</v>
      </c>
    </row>
    <row r="396" spans="1:1" x14ac:dyDescent="0.25">
      <c r="A396" s="1" t="s">
        <v>57</v>
      </c>
    </row>
    <row r="397" spans="1:1" x14ac:dyDescent="0.25">
      <c r="A397" s="1" t="s">
        <v>158</v>
      </c>
    </row>
    <row r="398" spans="1:1" x14ac:dyDescent="0.25">
      <c r="A398" s="1" t="s">
        <v>54</v>
      </c>
    </row>
    <row r="399" spans="1:1" x14ac:dyDescent="0.25">
      <c r="A399" s="1" t="s">
        <v>391</v>
      </c>
    </row>
    <row r="400" spans="1:1" x14ac:dyDescent="0.25">
      <c r="A400" s="1" t="s">
        <v>161</v>
      </c>
    </row>
    <row r="401" spans="1:1" x14ac:dyDescent="0.25">
      <c r="A401" s="1" t="s">
        <v>6</v>
      </c>
    </row>
    <row r="402" spans="1:1" x14ac:dyDescent="0.25">
      <c r="A402" s="1" t="s">
        <v>41</v>
      </c>
    </row>
    <row r="403" spans="1:1" x14ac:dyDescent="0.25">
      <c r="A403" s="1" t="s">
        <v>203</v>
      </c>
    </row>
    <row r="404" spans="1:1" x14ac:dyDescent="0.25">
      <c r="A404" s="1" t="s">
        <v>204</v>
      </c>
    </row>
    <row r="405" spans="1:1" x14ac:dyDescent="0.25">
      <c r="A405" s="1" t="s">
        <v>158</v>
      </c>
    </row>
    <row r="406" spans="1:1" x14ac:dyDescent="0.25">
      <c r="A406" s="1" t="s">
        <v>159</v>
      </c>
    </row>
    <row r="407" spans="1:1" x14ac:dyDescent="0.25">
      <c r="A407" s="1" t="s">
        <v>392</v>
      </c>
    </row>
    <row r="408" spans="1:1" x14ac:dyDescent="0.25">
      <c r="A408" s="1" t="s">
        <v>161</v>
      </c>
    </row>
    <row r="409" spans="1:1" x14ac:dyDescent="0.25">
      <c r="A409" s="1" t="s">
        <v>6</v>
      </c>
    </row>
    <row r="410" spans="1:1" x14ac:dyDescent="0.25">
      <c r="A410" s="1" t="s">
        <v>41</v>
      </c>
    </row>
    <row r="411" spans="1:1" x14ac:dyDescent="0.25">
      <c r="A411" s="1" t="s">
        <v>203</v>
      </c>
    </row>
    <row r="412" spans="1:1" x14ac:dyDescent="0.25">
      <c r="A412" s="1" t="s">
        <v>143</v>
      </c>
    </row>
    <row r="413" spans="1:1" x14ac:dyDescent="0.25">
      <c r="A413" s="1" t="s">
        <v>158</v>
      </c>
    </row>
    <row r="414" spans="1:1" x14ac:dyDescent="0.25">
      <c r="A414" s="1" t="s">
        <v>159</v>
      </c>
    </row>
    <row r="415" spans="1:1" x14ac:dyDescent="0.25">
      <c r="A415" s="1" t="s">
        <v>215</v>
      </c>
    </row>
    <row r="416" spans="1:1" x14ac:dyDescent="0.25">
      <c r="A416" s="1" t="s">
        <v>161</v>
      </c>
    </row>
    <row r="417" spans="1:1" x14ac:dyDescent="0.25">
      <c r="A417" s="1" t="s">
        <v>6</v>
      </c>
    </row>
    <row r="418" spans="1:1" x14ac:dyDescent="0.25">
      <c r="A418" s="1" t="s">
        <v>41</v>
      </c>
    </row>
    <row r="419" spans="1:1" x14ac:dyDescent="0.25">
      <c r="A419" s="1" t="s">
        <v>156</v>
      </c>
    </row>
    <row r="420" spans="1:1" x14ac:dyDescent="0.25">
      <c r="A420" s="1" t="s">
        <v>52</v>
      </c>
    </row>
    <row r="421" spans="1:1" x14ac:dyDescent="0.25">
      <c r="A421" s="1" t="s">
        <v>158</v>
      </c>
    </row>
    <row r="422" spans="1:1" x14ac:dyDescent="0.25">
      <c r="A422" s="1" t="s">
        <v>54</v>
      </c>
    </row>
    <row r="423" spans="1:1" x14ac:dyDescent="0.25">
      <c r="A423" s="1" t="s">
        <v>423</v>
      </c>
    </row>
    <row r="424" spans="1:1" x14ac:dyDescent="0.25">
      <c r="A424" s="1" t="s">
        <v>161</v>
      </c>
    </row>
    <row r="425" spans="1:1" x14ac:dyDescent="0.25">
      <c r="A425" s="1" t="s">
        <v>6</v>
      </c>
    </row>
    <row r="426" spans="1:1" x14ac:dyDescent="0.25">
      <c r="A426" s="1" t="s">
        <v>41</v>
      </c>
    </row>
    <row r="427" spans="1:1" x14ac:dyDescent="0.25">
      <c r="A427" s="1" t="s">
        <v>276</v>
      </c>
    </row>
    <row r="428" spans="1:1" x14ac:dyDescent="0.25">
      <c r="A428" s="1" t="s">
        <v>46</v>
      </c>
    </row>
    <row r="429" spans="1:1" x14ac:dyDescent="0.25">
      <c r="A429" s="1" t="s">
        <v>377</v>
      </c>
    </row>
    <row r="430" spans="1:1" x14ac:dyDescent="0.25">
      <c r="A430" s="1" t="s">
        <v>149</v>
      </c>
    </row>
    <row r="431" spans="1:1" x14ac:dyDescent="0.25">
      <c r="A431" s="1" t="s">
        <v>148</v>
      </c>
    </row>
    <row r="432" spans="1:1" x14ac:dyDescent="0.25">
      <c r="A432" s="1" t="s">
        <v>161</v>
      </c>
    </row>
    <row r="433" spans="1:1" x14ac:dyDescent="0.25">
      <c r="A433" s="1" t="s">
        <v>6</v>
      </c>
    </row>
    <row r="434" spans="1:1" x14ac:dyDescent="0.25">
      <c r="A434" s="1" t="s">
        <v>41</v>
      </c>
    </row>
    <row r="435" spans="1:1" x14ac:dyDescent="0.25">
      <c r="A435" s="1" t="s">
        <v>276</v>
      </c>
    </row>
    <row r="436" spans="1:1" x14ac:dyDescent="0.25">
      <c r="A436" s="1" t="s">
        <v>52</v>
      </c>
    </row>
    <row r="437" spans="1:1" x14ac:dyDescent="0.25">
      <c r="A437" s="1" t="s">
        <v>158</v>
      </c>
    </row>
    <row r="438" spans="1:1" x14ac:dyDescent="0.25">
      <c r="A438" s="1" t="s">
        <v>54</v>
      </c>
    </row>
    <row r="439" spans="1:1" x14ac:dyDescent="0.25">
      <c r="A439" s="1" t="s">
        <v>424</v>
      </c>
    </row>
    <row r="440" spans="1:1" x14ac:dyDescent="0.25">
      <c r="A440" s="1" t="s">
        <v>161</v>
      </c>
    </row>
    <row r="441" spans="1:1" x14ac:dyDescent="0.25">
      <c r="A441" s="1" t="s">
        <v>6</v>
      </c>
    </row>
    <row r="442" spans="1:1" x14ac:dyDescent="0.25">
      <c r="A442" s="1" t="s">
        <v>41</v>
      </c>
    </row>
    <row r="443" spans="1:1" x14ac:dyDescent="0.25">
      <c r="A443" s="1" t="s">
        <v>425</v>
      </c>
    </row>
    <row r="444" spans="1:1" x14ac:dyDescent="0.25">
      <c r="A444" s="1" t="s">
        <v>57</v>
      </c>
    </row>
    <row r="445" spans="1:1" x14ac:dyDescent="0.25">
      <c r="A445" s="1" t="s">
        <v>426</v>
      </c>
    </row>
    <row r="446" spans="1:1" x14ac:dyDescent="0.25">
      <c r="A446" s="1" t="s">
        <v>54</v>
      </c>
    </row>
    <row r="447" spans="1:1" x14ac:dyDescent="0.25">
      <c r="A447" s="1" t="s">
        <v>186</v>
      </c>
    </row>
    <row r="448" spans="1:1" x14ac:dyDescent="0.25">
      <c r="A448" s="1" t="s">
        <v>161</v>
      </c>
    </row>
    <row r="449" spans="1:1" x14ac:dyDescent="0.25">
      <c r="A449" s="1" t="s">
        <v>6</v>
      </c>
    </row>
    <row r="450" spans="1:1" x14ac:dyDescent="0.25">
      <c r="A450" s="1" t="s">
        <v>41</v>
      </c>
    </row>
    <row r="451" spans="1:1" x14ac:dyDescent="0.25">
      <c r="A451" s="1" t="s">
        <v>165</v>
      </c>
    </row>
    <row r="452" spans="1:1" x14ac:dyDescent="0.25">
      <c r="A452" s="1" t="s">
        <v>57</v>
      </c>
    </row>
    <row r="453" spans="1:1" x14ac:dyDescent="0.25">
      <c r="A453" s="1" t="s">
        <v>158</v>
      </c>
    </row>
    <row r="454" spans="1:1" x14ac:dyDescent="0.25">
      <c r="A454" s="1" t="s">
        <v>54</v>
      </c>
    </row>
    <row r="455" spans="1:1" x14ac:dyDescent="0.25">
      <c r="A455" s="1" t="s">
        <v>234</v>
      </c>
    </row>
    <row r="456" spans="1:1" x14ac:dyDescent="0.25">
      <c r="A456" s="1" t="s">
        <v>161</v>
      </c>
    </row>
    <row r="457" spans="1:1" x14ac:dyDescent="0.25">
      <c r="A457" s="1" t="s">
        <v>6</v>
      </c>
    </row>
    <row r="458" spans="1:1" x14ac:dyDescent="0.25">
      <c r="A458" s="1" t="s">
        <v>41</v>
      </c>
    </row>
    <row r="459" spans="1:1" x14ac:dyDescent="0.25">
      <c r="A459" s="1" t="s">
        <v>427</v>
      </c>
    </row>
    <row r="460" spans="1:1" x14ac:dyDescent="0.25">
      <c r="A460" s="1" t="s">
        <v>57</v>
      </c>
    </row>
    <row r="461" spans="1:1" x14ac:dyDescent="0.25">
      <c r="A461" s="1" t="s">
        <v>428</v>
      </c>
    </row>
    <row r="462" spans="1:1" x14ac:dyDescent="0.25">
      <c r="A462" s="1" t="s">
        <v>429</v>
      </c>
    </row>
    <row r="463" spans="1:1" x14ac:dyDescent="0.25">
      <c r="A463" s="1" t="s">
        <v>227</v>
      </c>
    </row>
    <row r="464" spans="1:1" x14ac:dyDescent="0.25">
      <c r="A464" s="1" t="s">
        <v>161</v>
      </c>
    </row>
    <row r="465" spans="1:1" x14ac:dyDescent="0.25">
      <c r="A465" s="1" t="s">
        <v>6</v>
      </c>
    </row>
    <row r="466" spans="1:1" x14ac:dyDescent="0.25">
      <c r="A466" s="1" t="s">
        <v>41</v>
      </c>
    </row>
    <row r="467" spans="1:1" x14ac:dyDescent="0.25">
      <c r="A467" s="1" t="s">
        <v>276</v>
      </c>
    </row>
    <row r="468" spans="1:1" x14ac:dyDescent="0.25">
      <c r="A468" s="1" t="s">
        <v>46</v>
      </c>
    </row>
    <row r="469" spans="1:1" x14ac:dyDescent="0.25">
      <c r="A469" s="1" t="s">
        <v>430</v>
      </c>
    </row>
    <row r="470" spans="1:1" x14ac:dyDescent="0.25">
      <c r="A470" s="1" t="s">
        <v>48</v>
      </c>
    </row>
    <row r="471" spans="1:1" x14ac:dyDescent="0.25">
      <c r="A471" s="1" t="s">
        <v>431</v>
      </c>
    </row>
    <row r="472" spans="1:1" x14ac:dyDescent="0.25">
      <c r="A472" s="1" t="s">
        <v>161</v>
      </c>
    </row>
    <row r="473" spans="1:1" x14ac:dyDescent="0.25">
      <c r="A473" s="1" t="s">
        <v>6</v>
      </c>
    </row>
    <row r="474" spans="1:1" x14ac:dyDescent="0.25">
      <c r="A474" s="1" t="s">
        <v>41</v>
      </c>
    </row>
    <row r="475" spans="1:1" x14ac:dyDescent="0.25">
      <c r="A475" s="1" t="s">
        <v>276</v>
      </c>
    </row>
    <row r="476" spans="1:1" x14ac:dyDescent="0.25">
      <c r="A476" s="1" t="s">
        <v>52</v>
      </c>
    </row>
    <row r="477" spans="1:1" x14ac:dyDescent="0.25">
      <c r="A477" s="1" t="s">
        <v>402</v>
      </c>
    </row>
    <row r="478" spans="1:1" x14ac:dyDescent="0.25">
      <c r="A478" s="1" t="s">
        <v>69</v>
      </c>
    </row>
    <row r="479" spans="1:1" x14ac:dyDescent="0.25">
      <c r="A479" s="1" t="s">
        <v>58</v>
      </c>
    </row>
    <row r="480" spans="1:1" x14ac:dyDescent="0.25">
      <c r="A480" s="1" t="s">
        <v>161</v>
      </c>
    </row>
    <row r="481" spans="1:1" x14ac:dyDescent="0.25">
      <c r="A481" s="1" t="s">
        <v>6</v>
      </c>
    </row>
    <row r="482" spans="1:1" x14ac:dyDescent="0.25">
      <c r="A482" s="1" t="s">
        <v>41</v>
      </c>
    </row>
    <row r="483" spans="1:1" x14ac:dyDescent="0.25">
      <c r="A483" s="1" t="s">
        <v>241</v>
      </c>
    </row>
    <row r="484" spans="1:1" x14ac:dyDescent="0.25">
      <c r="A484" s="1" t="s">
        <v>46</v>
      </c>
    </row>
    <row r="485" spans="1:1" x14ac:dyDescent="0.25">
      <c r="A485" s="1" t="s">
        <v>158</v>
      </c>
    </row>
    <row r="486" spans="1:1" x14ac:dyDescent="0.25">
      <c r="A486" s="1" t="s">
        <v>48</v>
      </c>
    </row>
    <row r="487" spans="1:1" x14ac:dyDescent="0.25">
      <c r="A487" s="1" t="s">
        <v>459</v>
      </c>
    </row>
    <row r="488" spans="1:1" x14ac:dyDescent="0.25">
      <c r="A488" s="1" t="s">
        <v>161</v>
      </c>
    </row>
    <row r="489" spans="1:1" x14ac:dyDescent="0.25">
      <c r="A489" s="1" t="s">
        <v>6</v>
      </c>
    </row>
    <row r="490" spans="1:1" x14ac:dyDescent="0.25">
      <c r="A490" s="1" t="s">
        <v>41</v>
      </c>
    </row>
    <row r="491" spans="1:1" x14ac:dyDescent="0.25">
      <c r="A491" s="1" t="s">
        <v>193</v>
      </c>
    </row>
    <row r="492" spans="1:1" x14ac:dyDescent="0.25">
      <c r="A492" s="1" t="s">
        <v>46</v>
      </c>
    </row>
    <row r="493" spans="1:1" x14ac:dyDescent="0.25">
      <c r="A493" s="1" t="s">
        <v>158</v>
      </c>
    </row>
    <row r="494" spans="1:1" x14ac:dyDescent="0.25">
      <c r="A494" s="1" t="s">
        <v>48</v>
      </c>
    </row>
    <row r="495" spans="1:1" x14ac:dyDescent="0.25">
      <c r="A495" s="1" t="s">
        <v>460</v>
      </c>
    </row>
    <row r="496" spans="1:1" x14ac:dyDescent="0.25">
      <c r="A496" s="1" t="s">
        <v>161</v>
      </c>
    </row>
    <row r="497" spans="1:1" x14ac:dyDescent="0.25">
      <c r="A497" s="1" t="s">
        <v>6</v>
      </c>
    </row>
    <row r="498" spans="1:1" x14ac:dyDescent="0.25">
      <c r="A498" s="1" t="s">
        <v>41</v>
      </c>
    </row>
    <row r="499" spans="1:1" x14ac:dyDescent="0.25">
      <c r="A499" s="1" t="s">
        <v>203</v>
      </c>
    </row>
    <row r="500" spans="1:1" x14ac:dyDescent="0.25">
      <c r="A500" s="1" t="s">
        <v>143</v>
      </c>
    </row>
    <row r="501" spans="1:1" x14ac:dyDescent="0.25">
      <c r="A501" s="1" t="s">
        <v>153</v>
      </c>
    </row>
    <row r="502" spans="1:1" x14ac:dyDescent="0.25">
      <c r="A502" s="1" t="s">
        <v>64</v>
      </c>
    </row>
    <row r="503" spans="1:1" x14ac:dyDescent="0.25">
      <c r="A503" s="1" t="s">
        <v>478</v>
      </c>
    </row>
    <row r="504" spans="1:1" x14ac:dyDescent="0.25">
      <c r="A504" s="1" t="s">
        <v>161</v>
      </c>
    </row>
    <row r="505" spans="1:1" x14ac:dyDescent="0.25">
      <c r="A505" s="1" t="s">
        <v>6</v>
      </c>
    </row>
    <row r="506" spans="1:1" x14ac:dyDescent="0.25">
      <c r="A506" s="1" t="s">
        <v>41</v>
      </c>
    </row>
    <row r="507" spans="1:1" x14ac:dyDescent="0.25">
      <c r="A507" s="1" t="s">
        <v>276</v>
      </c>
    </row>
    <row r="508" spans="1:1" x14ac:dyDescent="0.25">
      <c r="A508" s="1" t="s">
        <v>52</v>
      </c>
    </row>
    <row r="509" spans="1:1" x14ac:dyDescent="0.25">
      <c r="A509" s="1" t="s">
        <v>480</v>
      </c>
    </row>
    <row r="510" spans="1:1" x14ac:dyDescent="0.25">
      <c r="A510" s="1" t="s">
        <v>299</v>
      </c>
    </row>
    <row r="511" spans="1:1" x14ac:dyDescent="0.25">
      <c r="A511" s="1" t="s">
        <v>481</v>
      </c>
    </row>
    <row r="512" spans="1:1" x14ac:dyDescent="0.25">
      <c r="A512" s="1" t="s">
        <v>161</v>
      </c>
    </row>
    <row r="513" spans="1:1" x14ac:dyDescent="0.25">
      <c r="A513" s="1" t="s">
        <v>6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54"/>
  <sheetViews>
    <sheetView workbookViewId="0">
      <selection activeCell="G31" sqref="G31"/>
    </sheetView>
  </sheetViews>
  <sheetFormatPr defaultRowHeight="15" x14ac:dyDescent="0.25"/>
  <cols>
    <col min="1" max="1" width="39.140625" bestFit="1" customWidth="1"/>
  </cols>
  <sheetData>
    <row r="1" spans="1:1" x14ac:dyDescent="0.25">
      <c r="A1" s="1" t="s">
        <v>31</v>
      </c>
    </row>
    <row r="2" spans="1:1" x14ac:dyDescent="0.25">
      <c r="A2" s="1" t="s">
        <v>218</v>
      </c>
    </row>
    <row r="3" spans="1:1" x14ac:dyDescent="0.25">
      <c r="A3" s="1" t="s">
        <v>7</v>
      </c>
    </row>
    <row r="4" spans="1:1" x14ac:dyDescent="0.25">
      <c r="A4" s="1" t="s">
        <v>24</v>
      </c>
    </row>
    <row r="5" spans="1:1" x14ac:dyDescent="0.25">
      <c r="A5" s="1" t="s">
        <v>219</v>
      </c>
    </row>
    <row r="6" spans="1:1" x14ac:dyDescent="0.25">
      <c r="A6" s="1" t="s">
        <v>165</v>
      </c>
    </row>
    <row r="7" spans="1:1" x14ac:dyDescent="0.25">
      <c r="A7" s="1" t="s">
        <v>204</v>
      </c>
    </row>
    <row r="8" spans="1:1" x14ac:dyDescent="0.25">
      <c r="A8" s="1" t="s">
        <v>220</v>
      </c>
    </row>
    <row r="9" spans="1:1" x14ac:dyDescent="0.25">
      <c r="A9" s="1" t="s">
        <v>64</v>
      </c>
    </row>
    <row r="10" spans="1:1" x14ac:dyDescent="0.25">
      <c r="A10" s="1" t="s">
        <v>221</v>
      </c>
    </row>
    <row r="11" spans="1:1" x14ac:dyDescent="0.25">
      <c r="A11" s="1" t="s">
        <v>161</v>
      </c>
    </row>
    <row r="12" spans="1:1" x14ac:dyDescent="0.25">
      <c r="A12" s="1" t="s">
        <v>6</v>
      </c>
    </row>
    <row r="13" spans="1:1" x14ac:dyDescent="0.25">
      <c r="A13" s="1" t="s">
        <v>218</v>
      </c>
    </row>
    <row r="14" spans="1:1" x14ac:dyDescent="0.25">
      <c r="A14" s="1" t="s">
        <v>7</v>
      </c>
    </row>
    <row r="15" spans="1:1" x14ac:dyDescent="0.25">
      <c r="A15" s="1" t="s">
        <v>13</v>
      </c>
    </row>
    <row r="16" spans="1:1" x14ac:dyDescent="0.25">
      <c r="A16" s="1" t="s">
        <v>222</v>
      </c>
    </row>
    <row r="17" spans="1:1" x14ac:dyDescent="0.25">
      <c r="A17" s="1" t="s">
        <v>193</v>
      </c>
    </row>
    <row r="18" spans="1:1" x14ac:dyDescent="0.25">
      <c r="A18" s="1" t="s">
        <v>185</v>
      </c>
    </row>
    <row r="19" spans="1:1" x14ac:dyDescent="0.25">
      <c r="A19" s="1" t="s">
        <v>223</v>
      </c>
    </row>
    <row r="20" spans="1:1" x14ac:dyDescent="0.25">
      <c r="A20" s="1" t="s">
        <v>224</v>
      </c>
    </row>
    <row r="21" spans="1:1" x14ac:dyDescent="0.25">
      <c r="A21" s="1" t="s">
        <v>225</v>
      </c>
    </row>
    <row r="22" spans="1:1" x14ac:dyDescent="0.25">
      <c r="A22" s="1" t="s">
        <v>161</v>
      </c>
    </row>
    <row r="23" spans="1:1" x14ac:dyDescent="0.25">
      <c r="A23" s="1" t="s">
        <v>6</v>
      </c>
    </row>
    <row r="24" spans="1:1" x14ac:dyDescent="0.25">
      <c r="A24" s="1" t="s">
        <v>218</v>
      </c>
    </row>
    <row r="25" spans="1:1" x14ac:dyDescent="0.25">
      <c r="A25" s="1" t="s">
        <v>8</v>
      </c>
    </row>
    <row r="26" spans="1:1" x14ac:dyDescent="0.25">
      <c r="A26" s="1" t="s">
        <v>19</v>
      </c>
    </row>
    <row r="27" spans="1:1" x14ac:dyDescent="0.25">
      <c r="A27" s="1" t="s">
        <v>158</v>
      </c>
    </row>
    <row r="28" spans="1:1" x14ac:dyDescent="0.25">
      <c r="A28" s="1" t="s">
        <v>226</v>
      </c>
    </row>
    <row r="29" spans="1:1" x14ac:dyDescent="0.25">
      <c r="A29" s="1" t="s">
        <v>185</v>
      </c>
    </row>
    <row r="30" spans="1:1" x14ac:dyDescent="0.25">
      <c r="A30" s="1" t="s">
        <v>158</v>
      </c>
    </row>
    <row r="31" spans="1:1" x14ac:dyDescent="0.25">
      <c r="A31" s="1" t="s">
        <v>149</v>
      </c>
    </row>
    <row r="32" spans="1:1" x14ac:dyDescent="0.25">
      <c r="A32" s="1" t="s">
        <v>158</v>
      </c>
    </row>
    <row r="33" spans="1:1" x14ac:dyDescent="0.25">
      <c r="A33" s="1" t="s">
        <v>161</v>
      </c>
    </row>
    <row r="34" spans="1:1" x14ac:dyDescent="0.25">
      <c r="A34" s="1" t="s">
        <v>6</v>
      </c>
    </row>
    <row r="35" spans="1:1" x14ac:dyDescent="0.25">
      <c r="A35" s="1" t="s">
        <v>218</v>
      </c>
    </row>
    <row r="36" spans="1:1" x14ac:dyDescent="0.25">
      <c r="A36" s="1" t="s">
        <v>7</v>
      </c>
    </row>
    <row r="37" spans="1:1" x14ac:dyDescent="0.25">
      <c r="A37" s="1" t="s">
        <v>14</v>
      </c>
    </row>
    <row r="38" spans="1:1" x14ac:dyDescent="0.25">
      <c r="A38" s="1" t="s">
        <v>227</v>
      </c>
    </row>
    <row r="39" spans="1:1" x14ac:dyDescent="0.25">
      <c r="A39" s="1" t="s">
        <v>228</v>
      </c>
    </row>
    <row r="40" spans="1:1" x14ac:dyDescent="0.25">
      <c r="A40" s="1" t="s">
        <v>143</v>
      </c>
    </row>
    <row r="41" spans="1:1" x14ac:dyDescent="0.25">
      <c r="A41" s="1" t="s">
        <v>229</v>
      </c>
    </row>
    <row r="42" spans="1:1" x14ac:dyDescent="0.25">
      <c r="A42" s="1" t="s">
        <v>64</v>
      </c>
    </row>
    <row r="43" spans="1:1" x14ac:dyDescent="0.25">
      <c r="A43" s="1" t="s">
        <v>230</v>
      </c>
    </row>
    <row r="44" spans="1:1" x14ac:dyDescent="0.25">
      <c r="A44" s="1" t="s">
        <v>161</v>
      </c>
    </row>
    <row r="45" spans="1:1" x14ac:dyDescent="0.25">
      <c r="A45" s="1" t="s">
        <v>6</v>
      </c>
    </row>
    <row r="46" spans="1:1" x14ac:dyDescent="0.25">
      <c r="A46" s="1" t="s">
        <v>218</v>
      </c>
    </row>
    <row r="47" spans="1:1" x14ac:dyDescent="0.25">
      <c r="A47" s="1" t="s">
        <v>7</v>
      </c>
    </row>
    <row r="48" spans="1:1" x14ac:dyDescent="0.25">
      <c r="A48" s="1" t="s">
        <v>13</v>
      </c>
    </row>
    <row r="49" spans="1:1" x14ac:dyDescent="0.25">
      <c r="A49" s="1" t="s">
        <v>231</v>
      </c>
    </row>
    <row r="50" spans="1:1" x14ac:dyDescent="0.25">
      <c r="A50" s="1" t="s">
        <v>168</v>
      </c>
    </row>
    <row r="51" spans="1:1" x14ac:dyDescent="0.25">
      <c r="A51" s="1" t="s">
        <v>57</v>
      </c>
    </row>
    <row r="52" spans="1:1" x14ac:dyDescent="0.25">
      <c r="A52" s="1" t="s">
        <v>232</v>
      </c>
    </row>
    <row r="53" spans="1:1" x14ac:dyDescent="0.25">
      <c r="A53" s="1" t="s">
        <v>69</v>
      </c>
    </row>
    <row r="54" spans="1:1" x14ac:dyDescent="0.25">
      <c r="A54" s="1" t="s">
        <v>233</v>
      </c>
    </row>
    <row r="55" spans="1:1" x14ac:dyDescent="0.25">
      <c r="A55" s="1" t="s">
        <v>161</v>
      </c>
    </row>
    <row r="56" spans="1:1" x14ac:dyDescent="0.25">
      <c r="A56" s="1" t="s">
        <v>6</v>
      </c>
    </row>
    <row r="57" spans="1:1" x14ac:dyDescent="0.25">
      <c r="A57" s="1" t="s">
        <v>218</v>
      </c>
    </row>
    <row r="58" spans="1:1" x14ac:dyDescent="0.25">
      <c r="A58" s="1" t="s">
        <v>8</v>
      </c>
    </row>
    <row r="59" spans="1:1" x14ac:dyDescent="0.25">
      <c r="A59" s="1" t="s">
        <v>19</v>
      </c>
    </row>
    <row r="60" spans="1:1" x14ac:dyDescent="0.25">
      <c r="A60" s="1" t="s">
        <v>234</v>
      </c>
    </row>
    <row r="61" spans="1:1" x14ac:dyDescent="0.25">
      <c r="A61" s="1" t="s">
        <v>168</v>
      </c>
    </row>
    <row r="62" spans="1:1" x14ac:dyDescent="0.25">
      <c r="A62" s="1" t="s">
        <v>147</v>
      </c>
    </row>
    <row r="63" spans="1:1" x14ac:dyDescent="0.25">
      <c r="A63" s="1" t="s">
        <v>235</v>
      </c>
    </row>
    <row r="64" spans="1:1" x14ac:dyDescent="0.25">
      <c r="A64" s="1" t="s">
        <v>159</v>
      </c>
    </row>
    <row r="65" spans="1:1" x14ac:dyDescent="0.25">
      <c r="A65" s="1" t="s">
        <v>234</v>
      </c>
    </row>
    <row r="66" spans="1:1" x14ac:dyDescent="0.25">
      <c r="A66" s="1" t="s">
        <v>161</v>
      </c>
    </row>
    <row r="67" spans="1:1" x14ac:dyDescent="0.25">
      <c r="A67" s="1" t="s">
        <v>6</v>
      </c>
    </row>
    <row r="68" spans="1:1" x14ac:dyDescent="0.25">
      <c r="A68" s="1" t="s">
        <v>218</v>
      </c>
    </row>
    <row r="69" spans="1:1" x14ac:dyDescent="0.25">
      <c r="A69" s="1" t="s">
        <v>8</v>
      </c>
    </row>
    <row r="70" spans="1:1" x14ac:dyDescent="0.25">
      <c r="A70" s="1" t="s">
        <v>19</v>
      </c>
    </row>
    <row r="71" spans="1:1" x14ac:dyDescent="0.25">
      <c r="A71" s="1" t="s">
        <v>236</v>
      </c>
    </row>
    <row r="72" spans="1:1" x14ac:dyDescent="0.25">
      <c r="A72" s="1" t="s">
        <v>228</v>
      </c>
    </row>
    <row r="73" spans="1:1" x14ac:dyDescent="0.25">
      <c r="A73" s="1" t="s">
        <v>57</v>
      </c>
    </row>
    <row r="74" spans="1:1" x14ac:dyDescent="0.25">
      <c r="A74" s="1" t="s">
        <v>237</v>
      </c>
    </row>
    <row r="75" spans="1:1" x14ac:dyDescent="0.25">
      <c r="A75" s="1" t="s">
        <v>149</v>
      </c>
    </row>
    <row r="76" spans="1:1" x14ac:dyDescent="0.25">
      <c r="A76" s="1" t="s">
        <v>237</v>
      </c>
    </row>
    <row r="77" spans="1:1" x14ac:dyDescent="0.25">
      <c r="A77" s="1" t="s">
        <v>161</v>
      </c>
    </row>
    <row r="78" spans="1:1" x14ac:dyDescent="0.25">
      <c r="A78" s="1" t="s">
        <v>6</v>
      </c>
    </row>
    <row r="79" spans="1:1" x14ac:dyDescent="0.25">
      <c r="A79" s="1" t="s">
        <v>218</v>
      </c>
    </row>
    <row r="80" spans="1:1" x14ac:dyDescent="0.25">
      <c r="A80" s="1" t="s">
        <v>8</v>
      </c>
    </row>
    <row r="81" spans="1:1" x14ac:dyDescent="0.25">
      <c r="A81" s="1" t="s">
        <v>19</v>
      </c>
    </row>
    <row r="82" spans="1:1" x14ac:dyDescent="0.25">
      <c r="A82" s="1" t="s">
        <v>148</v>
      </c>
    </row>
    <row r="83" spans="1:1" x14ac:dyDescent="0.25">
      <c r="A83" s="1" t="s">
        <v>176</v>
      </c>
    </row>
    <row r="84" spans="1:1" x14ac:dyDescent="0.25">
      <c r="A84" s="1" t="s">
        <v>143</v>
      </c>
    </row>
    <row r="85" spans="1:1" x14ac:dyDescent="0.25">
      <c r="A85" s="1" t="s">
        <v>201</v>
      </c>
    </row>
    <row r="86" spans="1:1" x14ac:dyDescent="0.25">
      <c r="A86" s="1" t="s">
        <v>159</v>
      </c>
    </row>
    <row r="87" spans="1:1" x14ac:dyDescent="0.25">
      <c r="A87" s="1" t="s">
        <v>177</v>
      </c>
    </row>
    <row r="88" spans="1:1" x14ac:dyDescent="0.25">
      <c r="A88" s="1" t="s">
        <v>161</v>
      </c>
    </row>
    <row r="89" spans="1:1" x14ac:dyDescent="0.25">
      <c r="A89" s="1" t="s">
        <v>6</v>
      </c>
    </row>
    <row r="90" spans="1:1" x14ac:dyDescent="0.25">
      <c r="A90" s="1" t="s">
        <v>218</v>
      </c>
    </row>
    <row r="91" spans="1:1" x14ac:dyDescent="0.25">
      <c r="A91" s="1" t="s">
        <v>8</v>
      </c>
    </row>
    <row r="92" spans="1:1" x14ac:dyDescent="0.25">
      <c r="A92" s="1" t="s">
        <v>19</v>
      </c>
    </row>
    <row r="93" spans="1:1" x14ac:dyDescent="0.25">
      <c r="A93" s="1" t="s">
        <v>148</v>
      </c>
    </row>
    <row r="94" spans="1:1" x14ac:dyDescent="0.25">
      <c r="A94" s="1" t="s">
        <v>168</v>
      </c>
    </row>
    <row r="95" spans="1:1" x14ac:dyDescent="0.25">
      <c r="A95" s="1" t="s">
        <v>147</v>
      </c>
    </row>
    <row r="96" spans="1:1" x14ac:dyDescent="0.25">
      <c r="A96" s="1" t="s">
        <v>238</v>
      </c>
    </row>
    <row r="97" spans="1:1" x14ac:dyDescent="0.25">
      <c r="A97" s="1" t="s">
        <v>69</v>
      </c>
    </row>
    <row r="98" spans="1:1" x14ac:dyDescent="0.25">
      <c r="A98" s="1" t="s">
        <v>239</v>
      </c>
    </row>
    <row r="99" spans="1:1" x14ac:dyDescent="0.25">
      <c r="A99" s="1" t="s">
        <v>161</v>
      </c>
    </row>
    <row r="100" spans="1:1" x14ac:dyDescent="0.25">
      <c r="A100" s="1" t="s">
        <v>6</v>
      </c>
    </row>
    <row r="101" spans="1:1" x14ac:dyDescent="0.25">
      <c r="A101" s="1" t="s">
        <v>218</v>
      </c>
    </row>
    <row r="102" spans="1:1" x14ac:dyDescent="0.25">
      <c r="A102" s="1" t="s">
        <v>8</v>
      </c>
    </row>
    <row r="103" spans="1:1" x14ac:dyDescent="0.25">
      <c r="A103" s="1" t="s">
        <v>19</v>
      </c>
    </row>
    <row r="104" spans="1:1" x14ac:dyDescent="0.25">
      <c r="A104" s="1" t="s">
        <v>148</v>
      </c>
    </row>
    <row r="105" spans="1:1" x14ac:dyDescent="0.25">
      <c r="A105" s="1" t="s">
        <v>168</v>
      </c>
    </row>
    <row r="106" spans="1:1" x14ac:dyDescent="0.25">
      <c r="A106" s="1" t="s">
        <v>147</v>
      </c>
    </row>
    <row r="107" spans="1:1" x14ac:dyDescent="0.25">
      <c r="A107" s="1" t="s">
        <v>238</v>
      </c>
    </row>
    <row r="108" spans="1:1" x14ac:dyDescent="0.25">
      <c r="A108" s="1" t="s">
        <v>69</v>
      </c>
    </row>
    <row r="109" spans="1:1" x14ac:dyDescent="0.25">
      <c r="A109" s="1" t="s">
        <v>240</v>
      </c>
    </row>
    <row r="110" spans="1:1" x14ac:dyDescent="0.25">
      <c r="A110" s="1" t="s">
        <v>161</v>
      </c>
    </row>
    <row r="111" spans="1:1" x14ac:dyDescent="0.25">
      <c r="A111" s="1" t="s">
        <v>6</v>
      </c>
    </row>
    <row r="112" spans="1:1" x14ac:dyDescent="0.25">
      <c r="A112" s="1" t="s">
        <v>218</v>
      </c>
    </row>
    <row r="113" spans="1:1" x14ac:dyDescent="0.25">
      <c r="A113" s="1" t="s">
        <v>8</v>
      </c>
    </row>
    <row r="114" spans="1:1" x14ac:dyDescent="0.25">
      <c r="A114" s="1" t="s">
        <v>19</v>
      </c>
    </row>
    <row r="115" spans="1:1" x14ac:dyDescent="0.25">
      <c r="A115" s="1" t="s">
        <v>148</v>
      </c>
    </row>
    <row r="116" spans="1:1" x14ac:dyDescent="0.25">
      <c r="A116" s="1" t="s">
        <v>176</v>
      </c>
    </row>
    <row r="117" spans="1:1" x14ac:dyDescent="0.25">
      <c r="A117" s="1" t="s">
        <v>143</v>
      </c>
    </row>
    <row r="118" spans="1:1" x14ac:dyDescent="0.25">
      <c r="A118" s="1" t="s">
        <v>201</v>
      </c>
    </row>
    <row r="119" spans="1:1" x14ac:dyDescent="0.25">
      <c r="A119" s="1" t="s">
        <v>159</v>
      </c>
    </row>
    <row r="120" spans="1:1" x14ac:dyDescent="0.25">
      <c r="A120" s="1" t="s">
        <v>180</v>
      </c>
    </row>
    <row r="121" spans="1:1" x14ac:dyDescent="0.25">
      <c r="A121" s="1" t="s">
        <v>161</v>
      </c>
    </row>
    <row r="122" spans="1:1" x14ac:dyDescent="0.25">
      <c r="A122" s="1" t="s">
        <v>6</v>
      </c>
    </row>
    <row r="123" spans="1:1" x14ac:dyDescent="0.25">
      <c r="A123" s="1" t="s">
        <v>218</v>
      </c>
    </row>
    <row r="124" spans="1:1" x14ac:dyDescent="0.25">
      <c r="A124" s="1" t="s">
        <v>8</v>
      </c>
    </row>
    <row r="125" spans="1:1" x14ac:dyDescent="0.25">
      <c r="A125" s="1" t="s">
        <v>19</v>
      </c>
    </row>
    <row r="126" spans="1:1" x14ac:dyDescent="0.25">
      <c r="A126" s="1" t="s">
        <v>297</v>
      </c>
    </row>
    <row r="127" spans="1:1" x14ac:dyDescent="0.25">
      <c r="A127" s="1" t="s">
        <v>176</v>
      </c>
    </row>
    <row r="128" spans="1:1" x14ac:dyDescent="0.25">
      <c r="A128" s="1" t="s">
        <v>57</v>
      </c>
    </row>
    <row r="129" spans="1:1" x14ac:dyDescent="0.25">
      <c r="A129" s="1" t="s">
        <v>322</v>
      </c>
    </row>
    <row r="130" spans="1:1" x14ac:dyDescent="0.25">
      <c r="A130" s="1" t="s">
        <v>69</v>
      </c>
    </row>
    <row r="131" spans="1:1" x14ac:dyDescent="0.25">
      <c r="A131" s="1" t="s">
        <v>234</v>
      </c>
    </row>
    <row r="132" spans="1:1" x14ac:dyDescent="0.25">
      <c r="A132" s="1" t="s">
        <v>161</v>
      </c>
    </row>
    <row r="133" spans="1:1" x14ac:dyDescent="0.25">
      <c r="A133" s="1" t="s">
        <v>6</v>
      </c>
    </row>
    <row r="134" spans="1:1" x14ac:dyDescent="0.25">
      <c r="A134" s="1" t="s">
        <v>218</v>
      </c>
    </row>
    <row r="135" spans="1:1" x14ac:dyDescent="0.25">
      <c r="A135" s="1" t="s">
        <v>8</v>
      </c>
    </row>
    <row r="136" spans="1:1" x14ac:dyDescent="0.25">
      <c r="A136" s="1" t="s">
        <v>19</v>
      </c>
    </row>
    <row r="137" spans="1:1" x14ac:dyDescent="0.25">
      <c r="A137" s="1" t="s">
        <v>148</v>
      </c>
    </row>
    <row r="138" spans="1:1" x14ac:dyDescent="0.25">
      <c r="A138" s="1" t="s">
        <v>176</v>
      </c>
    </row>
    <row r="139" spans="1:1" x14ac:dyDescent="0.25">
      <c r="A139" s="1" t="s">
        <v>52</v>
      </c>
    </row>
    <row r="140" spans="1:1" x14ac:dyDescent="0.25">
      <c r="A140" s="1" t="s">
        <v>323</v>
      </c>
    </row>
    <row r="141" spans="1:1" x14ac:dyDescent="0.25">
      <c r="A141" s="1" t="s">
        <v>54</v>
      </c>
    </row>
    <row r="142" spans="1:1" x14ac:dyDescent="0.25">
      <c r="A142" s="1" t="s">
        <v>234</v>
      </c>
    </row>
    <row r="143" spans="1:1" x14ac:dyDescent="0.25">
      <c r="A143" s="1" t="s">
        <v>161</v>
      </c>
    </row>
    <row r="144" spans="1:1" x14ac:dyDescent="0.25">
      <c r="A144" s="1" t="s">
        <v>6</v>
      </c>
    </row>
    <row r="145" spans="1:1" x14ac:dyDescent="0.25">
      <c r="A145" s="1" t="s">
        <v>218</v>
      </c>
    </row>
    <row r="146" spans="1:1" x14ac:dyDescent="0.25">
      <c r="A146" s="1" t="s">
        <v>8</v>
      </c>
    </row>
    <row r="147" spans="1:1" x14ac:dyDescent="0.25">
      <c r="A147" s="1" t="s">
        <v>19</v>
      </c>
    </row>
    <row r="148" spans="1:1" x14ac:dyDescent="0.25">
      <c r="A148" s="1" t="s">
        <v>324</v>
      </c>
    </row>
    <row r="149" spans="1:1" x14ac:dyDescent="0.25">
      <c r="A149" s="1" t="s">
        <v>176</v>
      </c>
    </row>
    <row r="150" spans="1:1" x14ac:dyDescent="0.25">
      <c r="A150" s="1" t="s">
        <v>52</v>
      </c>
    </row>
    <row r="151" spans="1:1" x14ac:dyDescent="0.25">
      <c r="A151" s="1" t="s">
        <v>323</v>
      </c>
    </row>
    <row r="152" spans="1:1" x14ac:dyDescent="0.25">
      <c r="A152" s="1" t="s">
        <v>325</v>
      </c>
    </row>
    <row r="153" spans="1:1" x14ac:dyDescent="0.25">
      <c r="A153" s="1" t="s">
        <v>234</v>
      </c>
    </row>
    <row r="154" spans="1:1" x14ac:dyDescent="0.25">
      <c r="A154" s="1" t="s">
        <v>161</v>
      </c>
    </row>
    <row r="155" spans="1:1" x14ac:dyDescent="0.25">
      <c r="A155" s="1" t="s">
        <v>6</v>
      </c>
    </row>
    <row r="156" spans="1:1" x14ac:dyDescent="0.25">
      <c r="A156" s="1" t="s">
        <v>218</v>
      </c>
    </row>
    <row r="157" spans="1:1" x14ac:dyDescent="0.25">
      <c r="A157" s="1" t="s">
        <v>8</v>
      </c>
    </row>
    <row r="158" spans="1:1" x14ac:dyDescent="0.25">
      <c r="A158" s="1" t="s">
        <v>19</v>
      </c>
    </row>
    <row r="159" spans="1:1" x14ac:dyDescent="0.25">
      <c r="A159" s="1" t="s">
        <v>324</v>
      </c>
    </row>
    <row r="160" spans="1:1" x14ac:dyDescent="0.25">
      <c r="A160" s="1" t="s">
        <v>176</v>
      </c>
    </row>
    <row r="161" spans="1:1" x14ac:dyDescent="0.25">
      <c r="A161" s="1" t="s">
        <v>57</v>
      </c>
    </row>
    <row r="162" spans="1:1" x14ac:dyDescent="0.25">
      <c r="A162" s="1" t="s">
        <v>322</v>
      </c>
    </row>
    <row r="163" spans="1:1" x14ac:dyDescent="0.25">
      <c r="A163" s="1" t="s">
        <v>69</v>
      </c>
    </row>
    <row r="164" spans="1:1" x14ac:dyDescent="0.25">
      <c r="A164" s="1" t="s">
        <v>180</v>
      </c>
    </row>
    <row r="165" spans="1:1" x14ac:dyDescent="0.25">
      <c r="A165" s="1" t="s">
        <v>161</v>
      </c>
    </row>
    <row r="166" spans="1:1" x14ac:dyDescent="0.25">
      <c r="A166" s="1" t="s">
        <v>6</v>
      </c>
    </row>
    <row r="167" spans="1:1" x14ac:dyDescent="0.25">
      <c r="A167" s="1" t="s">
        <v>218</v>
      </c>
    </row>
    <row r="168" spans="1:1" x14ac:dyDescent="0.25">
      <c r="A168" s="1" t="s">
        <v>8</v>
      </c>
    </row>
    <row r="169" spans="1:1" x14ac:dyDescent="0.25">
      <c r="A169" s="1" t="s">
        <v>19</v>
      </c>
    </row>
    <row r="170" spans="1:1" x14ac:dyDescent="0.25">
      <c r="A170" s="1" t="s">
        <v>153</v>
      </c>
    </row>
    <row r="171" spans="1:1" x14ac:dyDescent="0.25">
      <c r="A171" s="1" t="s">
        <v>241</v>
      </c>
    </row>
    <row r="172" spans="1:1" x14ac:dyDescent="0.25">
      <c r="A172" s="1" t="s">
        <v>46</v>
      </c>
    </row>
    <row r="173" spans="1:1" x14ac:dyDescent="0.25">
      <c r="A173" s="1" t="s">
        <v>153</v>
      </c>
    </row>
    <row r="174" spans="1:1" x14ac:dyDescent="0.25">
      <c r="A174" s="1" t="s">
        <v>48</v>
      </c>
    </row>
    <row r="175" spans="1:1" x14ac:dyDescent="0.25">
      <c r="A175" s="1" t="s">
        <v>261</v>
      </c>
    </row>
    <row r="176" spans="1:1" x14ac:dyDescent="0.25">
      <c r="A176" s="1" t="s">
        <v>161</v>
      </c>
    </row>
    <row r="177" spans="1:1" x14ac:dyDescent="0.25">
      <c r="A177" s="1" t="s">
        <v>6</v>
      </c>
    </row>
    <row r="178" spans="1:1" x14ac:dyDescent="0.25">
      <c r="A178" s="1" t="s">
        <v>218</v>
      </c>
    </row>
    <row r="179" spans="1:1" x14ac:dyDescent="0.25">
      <c r="A179" s="1" t="s">
        <v>8</v>
      </c>
    </row>
    <row r="180" spans="1:1" x14ac:dyDescent="0.25">
      <c r="A180" s="1" t="s">
        <v>19</v>
      </c>
    </row>
    <row r="181" spans="1:1" x14ac:dyDescent="0.25">
      <c r="A181" s="1" t="s">
        <v>153</v>
      </c>
    </row>
    <row r="182" spans="1:1" x14ac:dyDescent="0.25">
      <c r="A182" s="1" t="s">
        <v>241</v>
      </c>
    </row>
    <row r="183" spans="1:1" x14ac:dyDescent="0.25">
      <c r="A183" s="1" t="s">
        <v>46</v>
      </c>
    </row>
    <row r="184" spans="1:1" x14ac:dyDescent="0.25">
      <c r="A184" s="1" t="s">
        <v>153</v>
      </c>
    </row>
    <row r="185" spans="1:1" x14ac:dyDescent="0.25">
      <c r="A185" s="1" t="s">
        <v>48</v>
      </c>
    </row>
    <row r="186" spans="1:1" x14ac:dyDescent="0.25">
      <c r="A186" s="1" t="s">
        <v>153</v>
      </c>
    </row>
    <row r="187" spans="1:1" x14ac:dyDescent="0.25">
      <c r="A187" s="1" t="s">
        <v>161</v>
      </c>
    </row>
    <row r="188" spans="1:1" x14ac:dyDescent="0.25">
      <c r="A188" s="1" t="s">
        <v>6</v>
      </c>
    </row>
    <row r="189" spans="1:1" x14ac:dyDescent="0.25">
      <c r="A189" s="1" t="s">
        <v>218</v>
      </c>
    </row>
    <row r="190" spans="1:1" x14ac:dyDescent="0.25">
      <c r="A190" s="1" t="s">
        <v>7</v>
      </c>
    </row>
    <row r="191" spans="1:1" x14ac:dyDescent="0.25">
      <c r="A191" s="1" t="s">
        <v>26</v>
      </c>
    </row>
    <row r="192" spans="1:1" x14ac:dyDescent="0.25">
      <c r="A192" s="1" t="s">
        <v>393</v>
      </c>
    </row>
    <row r="193" spans="1:1" x14ac:dyDescent="0.25">
      <c r="A193" s="1" t="s">
        <v>168</v>
      </c>
    </row>
    <row r="194" spans="1:1" x14ac:dyDescent="0.25">
      <c r="A194" s="1" t="s">
        <v>57</v>
      </c>
    </row>
    <row r="195" spans="1:1" x14ac:dyDescent="0.25">
      <c r="A195" s="1" t="s">
        <v>394</v>
      </c>
    </row>
    <row r="196" spans="1:1" x14ac:dyDescent="0.25">
      <c r="A196" s="1" t="s">
        <v>54</v>
      </c>
    </row>
    <row r="197" spans="1:1" x14ac:dyDescent="0.25">
      <c r="A197" s="1" t="s">
        <v>324</v>
      </c>
    </row>
    <row r="198" spans="1:1" x14ac:dyDescent="0.25">
      <c r="A198" s="1" t="s">
        <v>161</v>
      </c>
    </row>
    <row r="199" spans="1:1" x14ac:dyDescent="0.25">
      <c r="A199" s="1" t="s">
        <v>6</v>
      </c>
    </row>
    <row r="200" spans="1:1" x14ac:dyDescent="0.25">
      <c r="A200" s="1" t="s">
        <v>218</v>
      </c>
    </row>
    <row r="201" spans="1:1" x14ac:dyDescent="0.25">
      <c r="A201" s="1" t="s">
        <v>8</v>
      </c>
    </row>
    <row r="202" spans="1:1" x14ac:dyDescent="0.25">
      <c r="A202" s="1" t="s">
        <v>19</v>
      </c>
    </row>
    <row r="203" spans="1:1" x14ac:dyDescent="0.25">
      <c r="A203" s="1" t="s">
        <v>395</v>
      </c>
    </row>
    <row r="204" spans="1:1" x14ac:dyDescent="0.25">
      <c r="A204" s="1" t="s">
        <v>176</v>
      </c>
    </row>
    <row r="205" spans="1:1" x14ac:dyDescent="0.25">
      <c r="A205" s="1" t="s">
        <v>185</v>
      </c>
    </row>
    <row r="206" spans="1:1" x14ac:dyDescent="0.25">
      <c r="A206" s="1" t="s">
        <v>395</v>
      </c>
    </row>
    <row r="207" spans="1:1" x14ac:dyDescent="0.25">
      <c r="A207" s="1" t="s">
        <v>149</v>
      </c>
    </row>
    <row r="208" spans="1:1" x14ac:dyDescent="0.25">
      <c r="A208" s="1" t="s">
        <v>395</v>
      </c>
    </row>
    <row r="209" spans="1:1" x14ac:dyDescent="0.25">
      <c r="A209" s="1" t="s">
        <v>161</v>
      </c>
    </row>
    <row r="210" spans="1:1" x14ac:dyDescent="0.25">
      <c r="A210" s="1" t="s">
        <v>6</v>
      </c>
    </row>
    <row r="211" spans="1:1" x14ac:dyDescent="0.25">
      <c r="A211" s="1" t="s">
        <v>218</v>
      </c>
    </row>
    <row r="212" spans="1:1" x14ac:dyDescent="0.25">
      <c r="A212" s="1" t="s">
        <v>7</v>
      </c>
    </row>
    <row r="213" spans="1:1" x14ac:dyDescent="0.25">
      <c r="A213" s="1" t="s">
        <v>24</v>
      </c>
    </row>
    <row r="214" spans="1:1" x14ac:dyDescent="0.25">
      <c r="A214" s="1" t="s">
        <v>396</v>
      </c>
    </row>
    <row r="215" spans="1:1" x14ac:dyDescent="0.25">
      <c r="A215" s="1" t="s">
        <v>176</v>
      </c>
    </row>
    <row r="216" spans="1:1" x14ac:dyDescent="0.25">
      <c r="A216" s="1" t="s">
        <v>57</v>
      </c>
    </row>
    <row r="217" spans="1:1" x14ac:dyDescent="0.25">
      <c r="A217" s="1" t="s">
        <v>290</v>
      </c>
    </row>
    <row r="218" spans="1:1" x14ac:dyDescent="0.25">
      <c r="A218" s="1" t="s">
        <v>54</v>
      </c>
    </row>
    <row r="219" spans="1:1" x14ac:dyDescent="0.25">
      <c r="A219" s="1" t="s">
        <v>397</v>
      </c>
    </row>
    <row r="220" spans="1:1" x14ac:dyDescent="0.25">
      <c r="A220" s="1" t="s">
        <v>161</v>
      </c>
    </row>
    <row r="221" spans="1:1" x14ac:dyDescent="0.25">
      <c r="A221" s="1" t="s">
        <v>6</v>
      </c>
    </row>
    <row r="222" spans="1:1" x14ac:dyDescent="0.25">
      <c r="A222" s="1" t="s">
        <v>218</v>
      </c>
    </row>
    <row r="223" spans="1:1" x14ac:dyDescent="0.25">
      <c r="A223" s="1" t="s">
        <v>1</v>
      </c>
    </row>
    <row r="224" spans="1:1" x14ac:dyDescent="0.25">
      <c r="A224" s="1" t="s">
        <v>13</v>
      </c>
    </row>
    <row r="225" spans="1:1" x14ac:dyDescent="0.25">
      <c r="A225" s="1" t="s">
        <v>398</v>
      </c>
    </row>
    <row r="226" spans="1:1" x14ac:dyDescent="0.25">
      <c r="A226" s="1" t="s">
        <v>165</v>
      </c>
    </row>
    <row r="227" spans="1:1" x14ac:dyDescent="0.25">
      <c r="A227" s="1" t="s">
        <v>204</v>
      </c>
    </row>
    <row r="228" spans="1:1" x14ac:dyDescent="0.25">
      <c r="A228" s="1" t="s">
        <v>399</v>
      </c>
    </row>
    <row r="229" spans="1:1" x14ac:dyDescent="0.25">
      <c r="A229" s="1" t="s">
        <v>159</v>
      </c>
    </row>
    <row r="230" spans="1:1" x14ac:dyDescent="0.25">
      <c r="A230" s="1" t="s">
        <v>398</v>
      </c>
    </row>
    <row r="231" spans="1:1" x14ac:dyDescent="0.25">
      <c r="A231" s="1" t="s">
        <v>161</v>
      </c>
    </row>
    <row r="232" spans="1:1" x14ac:dyDescent="0.25">
      <c r="A232" s="1" t="s">
        <v>6</v>
      </c>
    </row>
    <row r="233" spans="1:1" x14ac:dyDescent="0.25">
      <c r="A233" s="1" t="s">
        <v>218</v>
      </c>
    </row>
    <row r="234" spans="1:1" x14ac:dyDescent="0.25">
      <c r="A234" s="1" t="s">
        <v>8</v>
      </c>
    </row>
    <row r="235" spans="1:1" x14ac:dyDescent="0.25">
      <c r="A235" s="1" t="s">
        <v>19</v>
      </c>
    </row>
    <row r="236" spans="1:1" x14ac:dyDescent="0.25">
      <c r="A236" s="1" t="s">
        <v>153</v>
      </c>
    </row>
    <row r="237" spans="1:1" x14ac:dyDescent="0.25">
      <c r="A237" s="1" t="s">
        <v>203</v>
      </c>
    </row>
    <row r="238" spans="1:1" x14ac:dyDescent="0.25">
      <c r="A238" s="1" t="s">
        <v>204</v>
      </c>
    </row>
    <row r="239" spans="1:1" x14ac:dyDescent="0.25">
      <c r="A239" s="1" t="s">
        <v>153</v>
      </c>
    </row>
    <row r="240" spans="1:1" x14ac:dyDescent="0.25">
      <c r="A240" s="1" t="s">
        <v>64</v>
      </c>
    </row>
    <row r="241" spans="1:1" x14ac:dyDescent="0.25">
      <c r="A241" s="1" t="s">
        <v>461</v>
      </c>
    </row>
    <row r="242" spans="1:1" x14ac:dyDescent="0.25">
      <c r="A242" s="1" t="s">
        <v>161</v>
      </c>
    </row>
    <row r="243" spans="1:1" x14ac:dyDescent="0.25">
      <c r="A243" s="1" t="s">
        <v>6</v>
      </c>
    </row>
    <row r="244" spans="1:1" x14ac:dyDescent="0.25">
      <c r="A244" s="1" t="s">
        <v>218</v>
      </c>
    </row>
    <row r="245" spans="1:1" x14ac:dyDescent="0.25">
      <c r="A245" s="1" t="s">
        <v>41</v>
      </c>
    </row>
    <row r="246" spans="1:1" x14ac:dyDescent="0.25">
      <c r="A246" s="1" t="s">
        <v>35</v>
      </c>
    </row>
    <row r="247" spans="1:1" x14ac:dyDescent="0.25">
      <c r="A247" s="1" t="s">
        <v>153</v>
      </c>
    </row>
    <row r="248" spans="1:1" x14ac:dyDescent="0.25">
      <c r="A248" s="1" t="s">
        <v>203</v>
      </c>
    </row>
    <row r="249" spans="1:1" x14ac:dyDescent="0.25">
      <c r="A249" s="1" t="s">
        <v>143</v>
      </c>
    </row>
    <row r="250" spans="1:1" x14ac:dyDescent="0.25">
      <c r="A250" s="1" t="s">
        <v>153</v>
      </c>
    </row>
    <row r="251" spans="1:1" x14ac:dyDescent="0.25">
      <c r="A251" s="1" t="s">
        <v>64</v>
      </c>
    </row>
    <row r="252" spans="1:1" x14ac:dyDescent="0.25">
      <c r="A252" s="1" t="s">
        <v>461</v>
      </c>
    </row>
    <row r="253" spans="1:1" x14ac:dyDescent="0.25">
      <c r="A253" s="1" t="s">
        <v>161</v>
      </c>
    </row>
    <row r="254" spans="1:1" x14ac:dyDescent="0.25">
      <c r="A254" s="1" t="s">
        <v>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97"/>
  <sheetViews>
    <sheetView workbookViewId="0">
      <selection activeCell="A4" sqref="A4"/>
    </sheetView>
  </sheetViews>
  <sheetFormatPr defaultRowHeight="15" x14ac:dyDescent="0.25"/>
  <cols>
    <col min="1" max="1" width="45.7109375" bestFit="1" customWidth="1"/>
  </cols>
  <sheetData>
    <row r="1" spans="1:1" x14ac:dyDescent="0.25">
      <c r="A1" s="1" t="s">
        <v>42</v>
      </c>
    </row>
    <row r="2" spans="1:1" x14ac:dyDescent="0.25">
      <c r="A2" s="1" t="s">
        <v>59</v>
      </c>
    </row>
    <row r="3" spans="1:1" x14ac:dyDescent="0.25">
      <c r="A3" s="1" t="s">
        <v>60</v>
      </c>
    </row>
    <row r="4" spans="1:1" x14ac:dyDescent="0.25">
      <c r="A4" s="1" t="s">
        <v>46</v>
      </c>
    </row>
    <row r="5" spans="1:1" x14ac:dyDescent="0.25">
      <c r="A5" s="1" t="s">
        <v>61</v>
      </c>
    </row>
    <row r="6" spans="1:1" x14ac:dyDescent="0.25">
      <c r="A6" s="1" t="s">
        <v>48</v>
      </c>
    </row>
    <row r="7" spans="1:1" x14ac:dyDescent="0.25">
      <c r="A7" s="1" t="s">
        <v>62</v>
      </c>
    </row>
    <row r="8" spans="1:1" x14ac:dyDescent="0.25">
      <c r="A8" s="1" t="s">
        <v>18</v>
      </c>
    </row>
    <row r="9" spans="1:1" x14ac:dyDescent="0.25">
      <c r="A9" s="1" t="s">
        <v>6</v>
      </c>
    </row>
    <row r="10" spans="1:1" x14ac:dyDescent="0.25">
      <c r="A10" s="1" t="s">
        <v>59</v>
      </c>
    </row>
    <row r="11" spans="1:1" x14ac:dyDescent="0.25">
      <c r="A11" s="1" t="s">
        <v>60</v>
      </c>
    </row>
    <row r="12" spans="1:1" x14ac:dyDescent="0.25">
      <c r="A12" s="1" t="s">
        <v>57</v>
      </c>
    </row>
    <row r="13" spans="1:1" x14ac:dyDescent="0.25">
      <c r="A13" s="1" t="s">
        <v>63</v>
      </c>
    </row>
    <row r="14" spans="1:1" x14ac:dyDescent="0.25">
      <c r="A14" s="1" t="s">
        <v>64</v>
      </c>
    </row>
    <row r="15" spans="1:1" x14ac:dyDescent="0.25">
      <c r="A15" s="1" t="s">
        <v>65</v>
      </c>
    </row>
    <row r="16" spans="1:1" x14ac:dyDescent="0.25">
      <c r="A16" s="1" t="s">
        <v>18</v>
      </c>
    </row>
    <row r="17" spans="1:1" x14ac:dyDescent="0.25">
      <c r="A17" s="1" t="s">
        <v>6</v>
      </c>
    </row>
    <row r="18" spans="1:1" x14ac:dyDescent="0.25">
      <c r="A18" s="1" t="s">
        <v>59</v>
      </c>
    </row>
    <row r="19" spans="1:1" x14ac:dyDescent="0.25">
      <c r="A19" s="1" t="s">
        <v>241</v>
      </c>
    </row>
    <row r="20" spans="1:1" x14ac:dyDescent="0.25">
      <c r="A20" s="1" t="s">
        <v>143</v>
      </c>
    </row>
    <row r="21" spans="1:1" x14ac:dyDescent="0.25">
      <c r="A21" s="1" t="s">
        <v>158</v>
      </c>
    </row>
    <row r="22" spans="1:1" x14ac:dyDescent="0.25">
      <c r="A22" s="1" t="s">
        <v>159</v>
      </c>
    </row>
    <row r="23" spans="1:1" x14ac:dyDescent="0.25">
      <c r="A23" s="1" t="s">
        <v>242</v>
      </c>
    </row>
    <row r="24" spans="1:1" x14ac:dyDescent="0.25">
      <c r="A24" s="1" t="s">
        <v>161</v>
      </c>
    </row>
    <row r="25" spans="1:1" x14ac:dyDescent="0.25">
      <c r="A25" s="1" t="s">
        <v>6</v>
      </c>
    </row>
    <row r="26" spans="1:1" x14ac:dyDescent="0.25">
      <c r="A26" s="1" t="s">
        <v>59</v>
      </c>
    </row>
    <row r="27" spans="1:1" x14ac:dyDescent="0.25">
      <c r="A27" s="1" t="s">
        <v>168</v>
      </c>
    </row>
    <row r="28" spans="1:1" x14ac:dyDescent="0.25">
      <c r="A28" s="1" t="s">
        <v>143</v>
      </c>
    </row>
    <row r="29" spans="1:1" x14ac:dyDescent="0.25">
      <c r="A29" s="1" t="s">
        <v>243</v>
      </c>
    </row>
    <row r="30" spans="1:1" x14ac:dyDescent="0.25">
      <c r="A30" s="1" t="s">
        <v>159</v>
      </c>
    </row>
    <row r="31" spans="1:1" x14ac:dyDescent="0.25">
      <c r="A31" s="1" t="s">
        <v>199</v>
      </c>
    </row>
    <row r="32" spans="1:1" x14ac:dyDescent="0.25">
      <c r="A32" s="1" t="s">
        <v>161</v>
      </c>
    </row>
    <row r="33" spans="1:1" x14ac:dyDescent="0.25">
      <c r="A33" s="1" t="s">
        <v>6</v>
      </c>
    </row>
    <row r="34" spans="1:1" x14ac:dyDescent="0.25">
      <c r="A34" s="1" t="s">
        <v>59</v>
      </c>
    </row>
    <row r="35" spans="1:1" x14ac:dyDescent="0.25">
      <c r="A35" s="1" t="s">
        <v>228</v>
      </c>
    </row>
    <row r="36" spans="1:1" x14ac:dyDescent="0.25">
      <c r="A36" s="1" t="s">
        <v>143</v>
      </c>
    </row>
    <row r="37" spans="1:1" x14ac:dyDescent="0.25">
      <c r="A37" s="1" t="s">
        <v>244</v>
      </c>
    </row>
    <row r="38" spans="1:1" x14ac:dyDescent="0.25">
      <c r="A38" s="1" t="s">
        <v>159</v>
      </c>
    </row>
    <row r="39" spans="1:1" x14ac:dyDescent="0.25">
      <c r="A39" s="1" t="s">
        <v>245</v>
      </c>
    </row>
    <row r="40" spans="1:1" x14ac:dyDescent="0.25">
      <c r="A40" s="1" t="s">
        <v>161</v>
      </c>
    </row>
    <row r="41" spans="1:1" x14ac:dyDescent="0.25">
      <c r="A41" s="1" t="s">
        <v>6</v>
      </c>
    </row>
    <row r="42" spans="1:1" x14ac:dyDescent="0.25">
      <c r="A42" s="1" t="s">
        <v>59</v>
      </c>
    </row>
    <row r="43" spans="1:1" x14ac:dyDescent="0.25">
      <c r="A43" s="1" t="s">
        <v>228</v>
      </c>
    </row>
    <row r="44" spans="1:1" x14ac:dyDescent="0.25">
      <c r="A44" s="1" t="s">
        <v>57</v>
      </c>
    </row>
    <row r="45" spans="1:1" x14ac:dyDescent="0.25">
      <c r="A45" s="1" t="s">
        <v>232</v>
      </c>
    </row>
    <row r="46" spans="1:1" x14ac:dyDescent="0.25">
      <c r="A46" s="1" t="s">
        <v>54</v>
      </c>
    </row>
    <row r="47" spans="1:1" x14ac:dyDescent="0.25">
      <c r="A47" s="1" t="s">
        <v>199</v>
      </c>
    </row>
    <row r="48" spans="1:1" x14ac:dyDescent="0.25">
      <c r="A48" s="1" t="s">
        <v>161</v>
      </c>
    </row>
    <row r="49" spans="1:1" x14ac:dyDescent="0.25">
      <c r="A49" s="1" t="s">
        <v>6</v>
      </c>
    </row>
    <row r="50" spans="1:1" x14ac:dyDescent="0.25">
      <c r="A50" s="1" t="s">
        <v>59</v>
      </c>
    </row>
    <row r="51" spans="1:1" x14ac:dyDescent="0.25">
      <c r="A51" s="1" t="s">
        <v>226</v>
      </c>
    </row>
    <row r="52" spans="1:1" x14ac:dyDescent="0.25">
      <c r="A52" s="1" t="s">
        <v>185</v>
      </c>
    </row>
    <row r="53" spans="1:1" x14ac:dyDescent="0.25">
      <c r="A53" s="1" t="s">
        <v>246</v>
      </c>
    </row>
    <row r="54" spans="1:1" x14ac:dyDescent="0.25">
      <c r="A54" s="1" t="s">
        <v>149</v>
      </c>
    </row>
    <row r="55" spans="1:1" x14ac:dyDescent="0.25">
      <c r="A55" s="1" t="s">
        <v>199</v>
      </c>
    </row>
    <row r="56" spans="1:1" x14ac:dyDescent="0.25">
      <c r="A56" s="1" t="s">
        <v>161</v>
      </c>
    </row>
    <row r="57" spans="1:1" x14ac:dyDescent="0.25">
      <c r="A57" s="1" t="s">
        <v>6</v>
      </c>
    </row>
    <row r="58" spans="1:1" x14ac:dyDescent="0.25">
      <c r="A58" s="1" t="s">
        <v>59</v>
      </c>
    </row>
    <row r="59" spans="1:1" x14ac:dyDescent="0.25">
      <c r="A59" s="1" t="s">
        <v>176</v>
      </c>
    </row>
    <row r="60" spans="1:1" x14ac:dyDescent="0.25">
      <c r="A60" s="1" t="s">
        <v>46</v>
      </c>
    </row>
    <row r="61" spans="1:1" x14ac:dyDescent="0.25">
      <c r="A61" s="1" t="s">
        <v>178</v>
      </c>
    </row>
    <row r="62" spans="1:1" x14ac:dyDescent="0.25">
      <c r="A62" s="1" t="s">
        <v>48</v>
      </c>
    </row>
    <row r="63" spans="1:1" x14ac:dyDescent="0.25">
      <c r="A63" s="1" t="s">
        <v>247</v>
      </c>
    </row>
    <row r="64" spans="1:1" x14ac:dyDescent="0.25">
      <c r="A64" s="1" t="s">
        <v>161</v>
      </c>
    </row>
    <row r="65" spans="1:1" x14ac:dyDescent="0.25">
      <c r="A65" s="1" t="s">
        <v>6</v>
      </c>
    </row>
    <row r="66" spans="1:1" x14ac:dyDescent="0.25">
      <c r="A66" s="1" t="s">
        <v>59</v>
      </c>
    </row>
    <row r="67" spans="1:1" x14ac:dyDescent="0.25">
      <c r="A67" s="1" t="s">
        <v>176</v>
      </c>
    </row>
    <row r="68" spans="1:1" x14ac:dyDescent="0.25">
      <c r="A68" s="1" t="s">
        <v>147</v>
      </c>
    </row>
    <row r="69" spans="1:1" x14ac:dyDescent="0.25">
      <c r="A69" s="1" t="s">
        <v>200</v>
      </c>
    </row>
    <row r="70" spans="1:1" x14ac:dyDescent="0.25">
      <c r="A70" s="1" t="s">
        <v>64</v>
      </c>
    </row>
    <row r="71" spans="1:1" x14ac:dyDescent="0.25">
      <c r="A71" s="1" t="s">
        <v>248</v>
      </c>
    </row>
    <row r="72" spans="1:1" x14ac:dyDescent="0.25">
      <c r="A72" s="1" t="s">
        <v>161</v>
      </c>
    </row>
    <row r="73" spans="1:1" x14ac:dyDescent="0.25">
      <c r="A73" s="1" t="s">
        <v>6</v>
      </c>
    </row>
    <row r="74" spans="1:1" x14ac:dyDescent="0.25">
      <c r="A74" s="1" t="s">
        <v>59</v>
      </c>
    </row>
    <row r="75" spans="1:1" x14ac:dyDescent="0.25">
      <c r="A75" s="1" t="s">
        <v>156</v>
      </c>
    </row>
    <row r="76" spans="1:1" x14ac:dyDescent="0.25">
      <c r="A76" s="1" t="s">
        <v>46</v>
      </c>
    </row>
    <row r="77" spans="1:1" x14ac:dyDescent="0.25">
      <c r="A77" s="1" t="s">
        <v>326</v>
      </c>
    </row>
    <row r="78" spans="1:1" x14ac:dyDescent="0.25">
      <c r="A78" s="1" t="s">
        <v>48</v>
      </c>
    </row>
    <row r="79" spans="1:1" x14ac:dyDescent="0.25">
      <c r="A79" s="1" t="s">
        <v>225</v>
      </c>
    </row>
    <row r="80" spans="1:1" x14ac:dyDescent="0.25">
      <c r="A80" s="1" t="s">
        <v>161</v>
      </c>
    </row>
    <row r="81" spans="1:1" x14ac:dyDescent="0.25">
      <c r="A81" s="1" t="s">
        <v>6</v>
      </c>
    </row>
    <row r="82" spans="1:1" x14ac:dyDescent="0.25">
      <c r="A82" s="1" t="s">
        <v>59</v>
      </c>
    </row>
    <row r="83" spans="1:1" x14ac:dyDescent="0.25">
      <c r="A83" s="1" t="s">
        <v>228</v>
      </c>
    </row>
    <row r="84" spans="1:1" x14ac:dyDescent="0.25">
      <c r="A84" s="1" t="s">
        <v>57</v>
      </c>
    </row>
    <row r="85" spans="1:1" x14ac:dyDescent="0.25">
      <c r="A85" s="1" t="s">
        <v>327</v>
      </c>
    </row>
    <row r="86" spans="1:1" x14ac:dyDescent="0.25">
      <c r="A86" s="1" t="s">
        <v>69</v>
      </c>
    </row>
    <row r="87" spans="1:1" x14ac:dyDescent="0.25">
      <c r="A87" s="1" t="s">
        <v>248</v>
      </c>
    </row>
    <row r="88" spans="1:1" x14ac:dyDescent="0.25">
      <c r="A88" s="1" t="s">
        <v>161</v>
      </c>
    </row>
    <row r="89" spans="1:1" x14ac:dyDescent="0.25">
      <c r="A89" s="1" t="s">
        <v>6</v>
      </c>
    </row>
    <row r="90" spans="1:1" x14ac:dyDescent="0.25">
      <c r="A90" s="1" t="s">
        <v>59</v>
      </c>
    </row>
    <row r="91" spans="1:1" x14ac:dyDescent="0.25">
      <c r="A91" s="1" t="s">
        <v>228</v>
      </c>
    </row>
    <row r="92" spans="1:1" x14ac:dyDescent="0.25">
      <c r="A92" s="1" t="s">
        <v>185</v>
      </c>
    </row>
    <row r="93" spans="1:1" x14ac:dyDescent="0.25">
      <c r="A93" s="1" t="s">
        <v>328</v>
      </c>
    </row>
    <row r="94" spans="1:1" x14ac:dyDescent="0.25">
      <c r="A94" s="1" t="s">
        <v>64</v>
      </c>
    </row>
    <row r="95" spans="1:1" x14ac:dyDescent="0.25">
      <c r="A95" s="1" t="s">
        <v>329</v>
      </c>
    </row>
    <row r="96" spans="1:1" x14ac:dyDescent="0.25">
      <c r="A96" s="1" t="s">
        <v>161</v>
      </c>
    </row>
    <row r="97" spans="1:1" x14ac:dyDescent="0.25">
      <c r="A97" s="1" t="s">
        <v>6</v>
      </c>
    </row>
    <row r="98" spans="1:1" x14ac:dyDescent="0.25">
      <c r="A98" s="1" t="s">
        <v>59</v>
      </c>
    </row>
    <row r="99" spans="1:1" x14ac:dyDescent="0.25">
      <c r="A99" s="1" t="s">
        <v>228</v>
      </c>
    </row>
    <row r="100" spans="1:1" x14ac:dyDescent="0.25">
      <c r="A100" s="1" t="s">
        <v>52</v>
      </c>
    </row>
    <row r="101" spans="1:1" x14ac:dyDescent="0.25">
      <c r="A101" s="1" t="s">
        <v>330</v>
      </c>
    </row>
    <row r="102" spans="1:1" x14ac:dyDescent="0.25">
      <c r="A102" s="1" t="s">
        <v>54</v>
      </c>
    </row>
    <row r="103" spans="1:1" x14ac:dyDescent="0.25">
      <c r="A103" s="1" t="s">
        <v>225</v>
      </c>
    </row>
    <row r="104" spans="1:1" x14ac:dyDescent="0.25">
      <c r="A104" s="1" t="s">
        <v>161</v>
      </c>
    </row>
    <row r="105" spans="1:1" x14ac:dyDescent="0.25">
      <c r="A105" s="1" t="s">
        <v>6</v>
      </c>
    </row>
    <row r="106" spans="1:1" x14ac:dyDescent="0.25">
      <c r="A106" s="1" t="s">
        <v>59</v>
      </c>
    </row>
    <row r="107" spans="1:1" x14ac:dyDescent="0.25">
      <c r="A107" s="1" t="s">
        <v>168</v>
      </c>
    </row>
    <row r="108" spans="1:1" x14ac:dyDescent="0.25">
      <c r="A108" s="1" t="s">
        <v>147</v>
      </c>
    </row>
    <row r="109" spans="1:1" x14ac:dyDescent="0.25">
      <c r="A109" s="1" t="s">
        <v>331</v>
      </c>
    </row>
    <row r="110" spans="1:1" x14ac:dyDescent="0.25">
      <c r="A110" s="1" t="s">
        <v>69</v>
      </c>
    </row>
    <row r="111" spans="1:1" x14ac:dyDescent="0.25">
      <c r="A111" s="1" t="s">
        <v>316</v>
      </c>
    </row>
    <row r="112" spans="1:1" x14ac:dyDescent="0.25">
      <c r="A112" s="1" t="s">
        <v>161</v>
      </c>
    </row>
    <row r="113" spans="1:1" x14ac:dyDescent="0.25">
      <c r="A113" s="1" t="s">
        <v>6</v>
      </c>
    </row>
    <row r="114" spans="1:1" x14ac:dyDescent="0.25">
      <c r="A114" s="1" t="s">
        <v>59</v>
      </c>
    </row>
    <row r="115" spans="1:1" x14ac:dyDescent="0.25">
      <c r="A115" s="1" t="s">
        <v>193</v>
      </c>
    </row>
    <row r="116" spans="1:1" x14ac:dyDescent="0.25">
      <c r="A116" s="1" t="s">
        <v>185</v>
      </c>
    </row>
    <row r="117" spans="1:1" x14ac:dyDescent="0.25">
      <c r="A117" s="1" t="s">
        <v>223</v>
      </c>
    </row>
    <row r="118" spans="1:1" x14ac:dyDescent="0.25">
      <c r="A118" s="1" t="s">
        <v>224</v>
      </c>
    </row>
    <row r="119" spans="1:1" x14ac:dyDescent="0.25">
      <c r="A119" s="1" t="s">
        <v>248</v>
      </c>
    </row>
    <row r="120" spans="1:1" x14ac:dyDescent="0.25">
      <c r="A120" s="1" t="s">
        <v>161</v>
      </c>
    </row>
    <row r="121" spans="1:1" x14ac:dyDescent="0.25">
      <c r="A121" s="1" t="s">
        <v>6</v>
      </c>
    </row>
    <row r="122" spans="1:1" x14ac:dyDescent="0.25">
      <c r="A122" s="1" t="s">
        <v>59</v>
      </c>
    </row>
    <row r="123" spans="1:1" x14ac:dyDescent="0.25">
      <c r="A123" s="1" t="s">
        <v>176</v>
      </c>
    </row>
    <row r="124" spans="1:1" x14ac:dyDescent="0.25">
      <c r="A124" s="1" t="s">
        <v>143</v>
      </c>
    </row>
    <row r="125" spans="1:1" x14ac:dyDescent="0.25">
      <c r="A125" s="1" t="s">
        <v>201</v>
      </c>
    </row>
    <row r="126" spans="1:1" x14ac:dyDescent="0.25">
      <c r="A126" s="1" t="s">
        <v>64</v>
      </c>
    </row>
    <row r="127" spans="1:1" x14ac:dyDescent="0.25">
      <c r="A127" s="1" t="s">
        <v>225</v>
      </c>
    </row>
    <row r="128" spans="1:1" x14ac:dyDescent="0.25">
      <c r="A128" s="1" t="s">
        <v>161</v>
      </c>
    </row>
    <row r="129" spans="1:1" x14ac:dyDescent="0.25">
      <c r="A129" s="1" t="s">
        <v>6</v>
      </c>
    </row>
    <row r="130" spans="1:1" x14ac:dyDescent="0.25">
      <c r="A130" s="1" t="s">
        <v>59</v>
      </c>
    </row>
    <row r="131" spans="1:1" x14ac:dyDescent="0.25">
      <c r="A131" s="1" t="s">
        <v>176</v>
      </c>
    </row>
    <row r="132" spans="1:1" x14ac:dyDescent="0.25">
      <c r="A132" s="1" t="s">
        <v>147</v>
      </c>
    </row>
    <row r="133" spans="1:1" x14ac:dyDescent="0.25">
      <c r="A133" s="1" t="s">
        <v>200</v>
      </c>
    </row>
    <row r="134" spans="1:1" x14ac:dyDescent="0.25">
      <c r="A134" s="1" t="s">
        <v>64</v>
      </c>
    </row>
    <row r="135" spans="1:1" x14ac:dyDescent="0.25">
      <c r="A135" s="1" t="s">
        <v>329</v>
      </c>
    </row>
    <row r="136" spans="1:1" x14ac:dyDescent="0.25">
      <c r="A136" s="1" t="s">
        <v>161</v>
      </c>
    </row>
    <row r="137" spans="1:1" x14ac:dyDescent="0.25">
      <c r="A137" s="1" t="s">
        <v>6</v>
      </c>
    </row>
    <row r="138" spans="1:1" x14ac:dyDescent="0.25">
      <c r="A138" s="1" t="s">
        <v>59</v>
      </c>
    </row>
    <row r="139" spans="1:1" x14ac:dyDescent="0.25">
      <c r="A139" s="1" t="s">
        <v>170</v>
      </c>
    </row>
    <row r="140" spans="1:1" x14ac:dyDescent="0.25">
      <c r="A140" s="1" t="s">
        <v>204</v>
      </c>
    </row>
    <row r="141" spans="1:1" x14ac:dyDescent="0.25">
      <c r="A141" s="1" t="s">
        <v>258</v>
      </c>
    </row>
    <row r="142" spans="1:1" x14ac:dyDescent="0.25">
      <c r="A142" s="1" t="s">
        <v>64</v>
      </c>
    </row>
    <row r="143" spans="1:1" x14ac:dyDescent="0.25">
      <c r="A143" s="1" t="s">
        <v>173</v>
      </c>
    </row>
    <row r="144" spans="1:1" x14ac:dyDescent="0.25">
      <c r="A144" s="1" t="s">
        <v>161</v>
      </c>
    </row>
    <row r="145" spans="1:1" x14ac:dyDescent="0.25">
      <c r="A145" s="1" t="s">
        <v>6</v>
      </c>
    </row>
    <row r="146" spans="1:1" x14ac:dyDescent="0.25">
      <c r="A146" s="1" t="s">
        <v>59</v>
      </c>
    </row>
    <row r="147" spans="1:1" x14ac:dyDescent="0.25">
      <c r="A147" s="1" t="s">
        <v>170</v>
      </c>
    </row>
    <row r="148" spans="1:1" x14ac:dyDescent="0.25">
      <c r="A148" s="1" t="s">
        <v>143</v>
      </c>
    </row>
    <row r="149" spans="1:1" x14ac:dyDescent="0.25">
      <c r="A149" s="1" t="s">
        <v>171</v>
      </c>
    </row>
    <row r="150" spans="1:1" x14ac:dyDescent="0.25">
      <c r="A150" s="1" t="s">
        <v>64</v>
      </c>
    </row>
    <row r="151" spans="1:1" x14ac:dyDescent="0.25">
      <c r="A151" s="1" t="s">
        <v>173</v>
      </c>
    </row>
    <row r="152" spans="1:1" x14ac:dyDescent="0.25">
      <c r="A152" s="1" t="s">
        <v>161</v>
      </c>
    </row>
    <row r="153" spans="1:1" x14ac:dyDescent="0.25">
      <c r="A153" s="1" t="s">
        <v>6</v>
      </c>
    </row>
    <row r="154" spans="1:1" x14ac:dyDescent="0.25">
      <c r="A154" s="1" t="s">
        <v>59</v>
      </c>
    </row>
    <row r="155" spans="1:1" x14ac:dyDescent="0.25">
      <c r="A155" s="1" t="s">
        <v>276</v>
      </c>
    </row>
    <row r="156" spans="1:1" x14ac:dyDescent="0.25">
      <c r="A156" s="1" t="s">
        <v>52</v>
      </c>
    </row>
    <row r="157" spans="1:1" x14ac:dyDescent="0.25">
      <c r="A157" s="1" t="s">
        <v>277</v>
      </c>
    </row>
    <row r="158" spans="1:1" x14ac:dyDescent="0.25">
      <c r="A158" s="1" t="s">
        <v>54</v>
      </c>
    </row>
    <row r="159" spans="1:1" x14ac:dyDescent="0.25">
      <c r="A159" s="1" t="s">
        <v>49</v>
      </c>
    </row>
    <row r="160" spans="1:1" x14ac:dyDescent="0.25">
      <c r="A160" s="1" t="s">
        <v>161</v>
      </c>
    </row>
    <row r="161" spans="1:1" x14ac:dyDescent="0.25">
      <c r="A161" s="1" t="s">
        <v>6</v>
      </c>
    </row>
    <row r="162" spans="1:1" x14ac:dyDescent="0.25">
      <c r="A162" s="1" t="s">
        <v>59</v>
      </c>
    </row>
    <row r="163" spans="1:1" x14ac:dyDescent="0.25">
      <c r="A163" s="1" t="s">
        <v>176</v>
      </c>
    </row>
    <row r="164" spans="1:1" x14ac:dyDescent="0.25">
      <c r="A164" s="1" t="s">
        <v>52</v>
      </c>
    </row>
    <row r="165" spans="1:1" x14ac:dyDescent="0.25">
      <c r="A165" s="1" t="s">
        <v>259</v>
      </c>
    </row>
    <row r="166" spans="1:1" x14ac:dyDescent="0.25">
      <c r="A166" s="1" t="s">
        <v>54</v>
      </c>
    </row>
    <row r="167" spans="1:1" x14ac:dyDescent="0.25">
      <c r="A167" s="1" t="s">
        <v>173</v>
      </c>
    </row>
    <row r="168" spans="1:1" x14ac:dyDescent="0.25">
      <c r="A168" s="1" t="s">
        <v>161</v>
      </c>
    </row>
    <row r="169" spans="1:1" x14ac:dyDescent="0.25">
      <c r="A169" s="1" t="s">
        <v>6</v>
      </c>
    </row>
    <row r="170" spans="1:1" x14ac:dyDescent="0.25">
      <c r="A170" s="1" t="s">
        <v>59</v>
      </c>
    </row>
    <row r="171" spans="1:1" x14ac:dyDescent="0.25">
      <c r="A171" s="1" t="s">
        <v>170</v>
      </c>
    </row>
    <row r="172" spans="1:1" x14ac:dyDescent="0.25">
      <c r="A172" s="1" t="s">
        <v>57</v>
      </c>
    </row>
    <row r="173" spans="1:1" x14ac:dyDescent="0.25">
      <c r="A173" s="1" t="s">
        <v>339</v>
      </c>
    </row>
    <row r="174" spans="1:1" x14ac:dyDescent="0.25">
      <c r="A174" s="1" t="s">
        <v>54</v>
      </c>
    </row>
    <row r="175" spans="1:1" x14ac:dyDescent="0.25">
      <c r="A175" s="1" t="s">
        <v>225</v>
      </c>
    </row>
    <row r="176" spans="1:1" x14ac:dyDescent="0.25">
      <c r="A176" s="1" t="s">
        <v>161</v>
      </c>
    </row>
    <row r="177" spans="1:1" x14ac:dyDescent="0.25">
      <c r="A177" s="1" t="s">
        <v>6</v>
      </c>
    </row>
    <row r="178" spans="1:1" x14ac:dyDescent="0.25">
      <c r="A178" s="1" t="s">
        <v>59</v>
      </c>
    </row>
    <row r="179" spans="1:1" x14ac:dyDescent="0.25">
      <c r="A179" s="1" t="s">
        <v>170</v>
      </c>
    </row>
    <row r="180" spans="1:1" x14ac:dyDescent="0.25">
      <c r="A180" s="1" t="s">
        <v>52</v>
      </c>
    </row>
    <row r="181" spans="1:1" x14ac:dyDescent="0.25">
      <c r="A181" s="1" t="s">
        <v>72</v>
      </c>
    </row>
    <row r="182" spans="1:1" x14ac:dyDescent="0.25">
      <c r="A182" s="1" t="s">
        <v>54</v>
      </c>
    </row>
    <row r="183" spans="1:1" x14ac:dyDescent="0.25">
      <c r="A183" s="1" t="s">
        <v>173</v>
      </c>
    </row>
    <row r="184" spans="1:1" x14ac:dyDescent="0.25">
      <c r="A184" s="1" t="s">
        <v>161</v>
      </c>
    </row>
    <row r="185" spans="1:1" x14ac:dyDescent="0.25">
      <c r="A185" s="1" t="s">
        <v>6</v>
      </c>
    </row>
    <row r="186" spans="1:1" x14ac:dyDescent="0.25">
      <c r="A186" s="1" t="s">
        <v>59</v>
      </c>
    </row>
    <row r="187" spans="1:1" x14ac:dyDescent="0.25">
      <c r="A187" s="1" t="s">
        <v>176</v>
      </c>
    </row>
    <row r="188" spans="1:1" x14ac:dyDescent="0.25">
      <c r="A188" s="1" t="s">
        <v>147</v>
      </c>
    </row>
    <row r="189" spans="1:1" x14ac:dyDescent="0.25">
      <c r="A189" s="1" t="s">
        <v>200</v>
      </c>
    </row>
    <row r="190" spans="1:1" x14ac:dyDescent="0.25">
      <c r="A190" s="1" t="s">
        <v>149</v>
      </c>
    </row>
    <row r="191" spans="1:1" x14ac:dyDescent="0.25">
      <c r="A191" s="1" t="s">
        <v>233</v>
      </c>
    </row>
    <row r="192" spans="1:1" x14ac:dyDescent="0.25">
      <c r="A192" s="1" t="s">
        <v>161</v>
      </c>
    </row>
    <row r="193" spans="1:1" x14ac:dyDescent="0.25">
      <c r="A193" s="1" t="s">
        <v>6</v>
      </c>
    </row>
    <row r="194" spans="1:1" x14ac:dyDescent="0.25">
      <c r="A194" s="1" t="s">
        <v>59</v>
      </c>
    </row>
    <row r="195" spans="1:1" x14ac:dyDescent="0.25">
      <c r="A195" s="1" t="s">
        <v>228</v>
      </c>
    </row>
    <row r="196" spans="1:1" x14ac:dyDescent="0.25">
      <c r="A196" s="1" t="s">
        <v>57</v>
      </c>
    </row>
    <row r="197" spans="1:1" x14ac:dyDescent="0.25">
      <c r="A197" s="1" t="s">
        <v>327</v>
      </c>
    </row>
    <row r="198" spans="1:1" x14ac:dyDescent="0.25">
      <c r="A198" s="1" t="s">
        <v>54</v>
      </c>
    </row>
    <row r="199" spans="1:1" x14ac:dyDescent="0.25">
      <c r="A199" s="1" t="s">
        <v>158</v>
      </c>
    </row>
    <row r="200" spans="1:1" x14ac:dyDescent="0.25">
      <c r="A200" s="1" t="s">
        <v>161</v>
      </c>
    </row>
    <row r="201" spans="1:1" x14ac:dyDescent="0.25">
      <c r="A201" s="1" t="s">
        <v>6</v>
      </c>
    </row>
    <row r="202" spans="1:1" x14ac:dyDescent="0.25">
      <c r="A202" s="1" t="s">
        <v>59</v>
      </c>
    </row>
    <row r="203" spans="1:1" x14ac:dyDescent="0.25">
      <c r="A203" s="1" t="s">
        <v>228</v>
      </c>
    </row>
    <row r="204" spans="1:1" x14ac:dyDescent="0.25">
      <c r="A204" s="1" t="s">
        <v>143</v>
      </c>
    </row>
    <row r="205" spans="1:1" x14ac:dyDescent="0.25">
      <c r="A205" s="1" t="s">
        <v>379</v>
      </c>
    </row>
    <row r="206" spans="1:1" x14ac:dyDescent="0.25">
      <c r="A206" s="1" t="s">
        <v>159</v>
      </c>
    </row>
    <row r="207" spans="1:1" x14ac:dyDescent="0.25">
      <c r="A207" s="1" t="s">
        <v>329</v>
      </c>
    </row>
    <row r="208" spans="1:1" x14ac:dyDescent="0.25">
      <c r="A208" s="1" t="s">
        <v>161</v>
      </c>
    </row>
    <row r="209" spans="1:1" x14ac:dyDescent="0.25">
      <c r="A209" s="1" t="s">
        <v>6</v>
      </c>
    </row>
    <row r="210" spans="1:1" x14ac:dyDescent="0.25">
      <c r="A210" s="1" t="s">
        <v>59</v>
      </c>
    </row>
    <row r="211" spans="1:1" x14ac:dyDescent="0.25">
      <c r="A211" s="1" t="s">
        <v>170</v>
      </c>
    </row>
    <row r="212" spans="1:1" x14ac:dyDescent="0.25">
      <c r="A212" s="1" t="s">
        <v>204</v>
      </c>
    </row>
    <row r="213" spans="1:1" x14ac:dyDescent="0.25">
      <c r="A213" s="1" t="s">
        <v>258</v>
      </c>
    </row>
    <row r="214" spans="1:1" x14ac:dyDescent="0.25">
      <c r="A214" s="1" t="s">
        <v>149</v>
      </c>
    </row>
    <row r="215" spans="1:1" x14ac:dyDescent="0.25">
      <c r="A215" s="1" t="s">
        <v>225</v>
      </c>
    </row>
    <row r="216" spans="1:1" x14ac:dyDescent="0.25">
      <c r="A216" s="1" t="s">
        <v>161</v>
      </c>
    </row>
    <row r="217" spans="1:1" x14ac:dyDescent="0.25">
      <c r="A217" s="1" t="s">
        <v>6</v>
      </c>
    </row>
    <row r="218" spans="1:1" x14ac:dyDescent="0.25">
      <c r="A218" s="1" t="s">
        <v>59</v>
      </c>
    </row>
    <row r="219" spans="1:1" x14ac:dyDescent="0.25">
      <c r="A219" s="1" t="s">
        <v>170</v>
      </c>
    </row>
    <row r="220" spans="1:1" x14ac:dyDescent="0.25">
      <c r="A220" s="1" t="s">
        <v>143</v>
      </c>
    </row>
    <row r="221" spans="1:1" x14ac:dyDescent="0.25">
      <c r="A221" s="1" t="s">
        <v>384</v>
      </c>
    </row>
    <row r="222" spans="1:1" x14ac:dyDescent="0.25">
      <c r="A222" s="1" t="s">
        <v>159</v>
      </c>
    </row>
    <row r="223" spans="1:1" x14ac:dyDescent="0.25">
      <c r="A223" s="1" t="s">
        <v>261</v>
      </c>
    </row>
    <row r="224" spans="1:1" x14ac:dyDescent="0.25">
      <c r="A224" s="1" t="s">
        <v>161</v>
      </c>
    </row>
    <row r="225" spans="1:1" x14ac:dyDescent="0.25">
      <c r="A225" s="1" t="s">
        <v>6</v>
      </c>
    </row>
    <row r="226" spans="1:1" x14ac:dyDescent="0.25">
      <c r="A226" s="1" t="s">
        <v>59</v>
      </c>
    </row>
    <row r="227" spans="1:1" x14ac:dyDescent="0.25">
      <c r="A227" s="1" t="s">
        <v>276</v>
      </c>
    </row>
    <row r="228" spans="1:1" x14ac:dyDescent="0.25">
      <c r="A228" s="1" t="s">
        <v>46</v>
      </c>
    </row>
    <row r="229" spans="1:1" x14ac:dyDescent="0.25">
      <c r="A229" s="1" t="s">
        <v>400</v>
      </c>
    </row>
    <row r="230" spans="1:1" x14ac:dyDescent="0.25">
      <c r="A230" s="1" t="s">
        <v>48</v>
      </c>
    </row>
    <row r="231" spans="1:1" x14ac:dyDescent="0.25">
      <c r="A231" s="1" t="s">
        <v>401</v>
      </c>
    </row>
    <row r="232" spans="1:1" x14ac:dyDescent="0.25">
      <c r="A232" s="1" t="s">
        <v>161</v>
      </c>
    </row>
    <row r="233" spans="1:1" x14ac:dyDescent="0.25">
      <c r="A233" s="1" t="s">
        <v>6</v>
      </c>
    </row>
    <row r="234" spans="1:1" x14ac:dyDescent="0.25">
      <c r="A234" s="1" t="s">
        <v>59</v>
      </c>
    </row>
    <row r="235" spans="1:1" x14ac:dyDescent="0.25">
      <c r="A235" s="1" t="s">
        <v>176</v>
      </c>
    </row>
    <row r="236" spans="1:1" x14ac:dyDescent="0.25">
      <c r="A236" s="1" t="s">
        <v>52</v>
      </c>
    </row>
    <row r="237" spans="1:1" x14ac:dyDescent="0.25">
      <c r="A237" s="1" t="s">
        <v>259</v>
      </c>
    </row>
    <row r="238" spans="1:1" x14ac:dyDescent="0.25">
      <c r="A238" s="1" t="s">
        <v>69</v>
      </c>
    </row>
    <row r="239" spans="1:1" x14ac:dyDescent="0.25">
      <c r="A239" s="1" t="s">
        <v>225</v>
      </c>
    </row>
    <row r="240" spans="1:1" x14ac:dyDescent="0.25">
      <c r="A240" s="1" t="s">
        <v>161</v>
      </c>
    </row>
    <row r="241" spans="1:1" x14ac:dyDescent="0.25">
      <c r="A241" s="1" t="s">
        <v>6</v>
      </c>
    </row>
    <row r="242" spans="1:1" x14ac:dyDescent="0.25">
      <c r="A242" s="1" t="s">
        <v>59</v>
      </c>
    </row>
    <row r="243" spans="1:1" x14ac:dyDescent="0.25">
      <c r="A243" s="1" t="s">
        <v>276</v>
      </c>
    </row>
    <row r="244" spans="1:1" x14ac:dyDescent="0.25">
      <c r="A244" s="1" t="s">
        <v>52</v>
      </c>
    </row>
    <row r="245" spans="1:1" x14ac:dyDescent="0.25">
      <c r="A245" s="1" t="s">
        <v>402</v>
      </c>
    </row>
    <row r="246" spans="1:1" x14ac:dyDescent="0.25">
      <c r="A246" s="1" t="s">
        <v>54</v>
      </c>
    </row>
    <row r="247" spans="1:1" x14ac:dyDescent="0.25">
      <c r="A247" s="1" t="s">
        <v>403</v>
      </c>
    </row>
    <row r="248" spans="1:1" x14ac:dyDescent="0.25">
      <c r="A248" s="1" t="s">
        <v>161</v>
      </c>
    </row>
    <row r="249" spans="1:1" x14ac:dyDescent="0.25">
      <c r="A249" s="1" t="s">
        <v>6</v>
      </c>
    </row>
    <row r="250" spans="1:1" x14ac:dyDescent="0.25">
      <c r="A250" s="1" t="s">
        <v>59</v>
      </c>
    </row>
    <row r="251" spans="1:1" x14ac:dyDescent="0.25">
      <c r="A251" s="1" t="s">
        <v>197</v>
      </c>
    </row>
    <row r="252" spans="1:1" x14ac:dyDescent="0.25">
      <c r="A252" s="1" t="s">
        <v>147</v>
      </c>
    </row>
    <row r="253" spans="1:1" x14ac:dyDescent="0.25">
      <c r="A253" s="1" t="s">
        <v>404</v>
      </c>
    </row>
    <row r="254" spans="1:1" x14ac:dyDescent="0.25">
      <c r="A254" s="1" t="s">
        <v>69</v>
      </c>
    </row>
    <row r="255" spans="1:1" x14ac:dyDescent="0.25">
      <c r="A255" s="1" t="s">
        <v>405</v>
      </c>
    </row>
    <row r="256" spans="1:1" x14ac:dyDescent="0.25">
      <c r="A256" s="1" t="s">
        <v>161</v>
      </c>
    </row>
    <row r="257" spans="1:1" x14ac:dyDescent="0.25">
      <c r="A257" s="1" t="s">
        <v>6</v>
      </c>
    </row>
    <row r="258" spans="1:1" x14ac:dyDescent="0.25">
      <c r="A258" s="1" t="s">
        <v>59</v>
      </c>
    </row>
    <row r="259" spans="1:1" x14ac:dyDescent="0.25">
      <c r="A259" s="1" t="s">
        <v>176</v>
      </c>
    </row>
    <row r="260" spans="1:1" x14ac:dyDescent="0.25">
      <c r="A260" s="1" t="s">
        <v>52</v>
      </c>
    </row>
    <row r="261" spans="1:1" x14ac:dyDescent="0.25">
      <c r="A261" s="1" t="s">
        <v>323</v>
      </c>
    </row>
    <row r="262" spans="1:1" x14ac:dyDescent="0.25">
      <c r="A262" s="1" t="s">
        <v>54</v>
      </c>
    </row>
    <row r="263" spans="1:1" x14ac:dyDescent="0.25">
      <c r="A263" s="1" t="s">
        <v>248</v>
      </c>
    </row>
    <row r="264" spans="1:1" x14ac:dyDescent="0.25">
      <c r="A264" s="1" t="s">
        <v>161</v>
      </c>
    </row>
    <row r="265" spans="1:1" x14ac:dyDescent="0.25">
      <c r="A265" s="1" t="s">
        <v>6</v>
      </c>
    </row>
    <row r="266" spans="1:1" x14ac:dyDescent="0.25">
      <c r="A266" s="1" t="s">
        <v>59</v>
      </c>
    </row>
    <row r="267" spans="1:1" x14ac:dyDescent="0.25">
      <c r="A267" s="1" t="s">
        <v>276</v>
      </c>
    </row>
    <row r="268" spans="1:1" x14ac:dyDescent="0.25">
      <c r="A268" s="1" t="s">
        <v>52</v>
      </c>
    </row>
    <row r="269" spans="1:1" x14ac:dyDescent="0.25">
      <c r="A269" s="1" t="s">
        <v>302</v>
      </c>
    </row>
    <row r="270" spans="1:1" x14ac:dyDescent="0.25">
      <c r="A270" s="1" t="s">
        <v>54</v>
      </c>
    </row>
    <row r="271" spans="1:1" x14ac:dyDescent="0.25">
      <c r="A271" s="1" t="s">
        <v>432</v>
      </c>
    </row>
    <row r="272" spans="1:1" x14ac:dyDescent="0.25">
      <c r="A272" s="1" t="s">
        <v>161</v>
      </c>
    </row>
    <row r="273" spans="1:1" x14ac:dyDescent="0.25">
      <c r="A273" s="1" t="s">
        <v>6</v>
      </c>
    </row>
    <row r="274" spans="1:1" x14ac:dyDescent="0.25">
      <c r="A274" s="1" t="s">
        <v>59</v>
      </c>
    </row>
    <row r="275" spans="1:1" x14ac:dyDescent="0.25">
      <c r="A275" s="1" t="s">
        <v>425</v>
      </c>
    </row>
    <row r="276" spans="1:1" x14ac:dyDescent="0.25">
      <c r="A276" s="1" t="s">
        <v>52</v>
      </c>
    </row>
    <row r="277" spans="1:1" x14ac:dyDescent="0.25">
      <c r="A277" s="1" t="s">
        <v>158</v>
      </c>
    </row>
    <row r="278" spans="1:1" x14ac:dyDescent="0.25">
      <c r="A278" s="1" t="s">
        <v>69</v>
      </c>
    </row>
    <row r="279" spans="1:1" x14ac:dyDescent="0.25">
      <c r="A279" s="1" t="s">
        <v>158</v>
      </c>
    </row>
    <row r="280" spans="1:1" x14ac:dyDescent="0.25">
      <c r="A280" s="1" t="s">
        <v>161</v>
      </c>
    </row>
    <row r="281" spans="1:1" x14ac:dyDescent="0.25">
      <c r="A281" s="1" t="s">
        <v>6</v>
      </c>
    </row>
    <row r="282" spans="1:1" x14ac:dyDescent="0.25">
      <c r="A282" s="1" t="s">
        <v>59</v>
      </c>
    </row>
    <row r="283" spans="1:1" x14ac:dyDescent="0.25">
      <c r="A283" s="1" t="s">
        <v>168</v>
      </c>
    </row>
    <row r="284" spans="1:1" x14ac:dyDescent="0.25">
      <c r="A284" s="1" t="s">
        <v>147</v>
      </c>
    </row>
    <row r="285" spans="1:1" x14ac:dyDescent="0.25">
      <c r="A285" s="1" t="s">
        <v>433</v>
      </c>
    </row>
    <row r="286" spans="1:1" x14ac:dyDescent="0.25">
      <c r="A286" s="1" t="s">
        <v>54</v>
      </c>
    </row>
    <row r="287" spans="1:1" x14ac:dyDescent="0.25">
      <c r="A287" s="1" t="s">
        <v>434</v>
      </c>
    </row>
    <row r="288" spans="1:1" x14ac:dyDescent="0.25">
      <c r="A288" s="1" t="s">
        <v>161</v>
      </c>
    </row>
    <row r="289" spans="1:1" x14ac:dyDescent="0.25">
      <c r="A289" s="1" t="s">
        <v>6</v>
      </c>
    </row>
    <row r="290" spans="1:1" x14ac:dyDescent="0.25">
      <c r="A290" s="1" t="s">
        <v>59</v>
      </c>
    </row>
    <row r="291" spans="1:1" x14ac:dyDescent="0.25">
      <c r="A291" s="1" t="s">
        <v>156</v>
      </c>
    </row>
    <row r="292" spans="1:1" x14ac:dyDescent="0.25">
      <c r="A292" s="1" t="s">
        <v>57</v>
      </c>
    </row>
    <row r="293" spans="1:1" x14ac:dyDescent="0.25">
      <c r="A293" s="1" t="s">
        <v>227</v>
      </c>
    </row>
    <row r="294" spans="1:1" x14ac:dyDescent="0.25">
      <c r="A294" s="1" t="s">
        <v>54</v>
      </c>
    </row>
    <row r="295" spans="1:1" x14ac:dyDescent="0.25">
      <c r="A295" s="1" t="s">
        <v>237</v>
      </c>
    </row>
    <row r="296" spans="1:1" x14ac:dyDescent="0.25">
      <c r="A296" s="1" t="s">
        <v>161</v>
      </c>
    </row>
    <row r="297" spans="1:1" x14ac:dyDescent="0.25">
      <c r="A297" s="1" t="s">
        <v>6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73"/>
  <sheetViews>
    <sheetView workbookViewId="0">
      <selection activeCell="Q38" sqref="Q38"/>
    </sheetView>
  </sheetViews>
  <sheetFormatPr defaultRowHeight="15" x14ac:dyDescent="0.25"/>
  <cols>
    <col min="1" max="1" width="39.140625" bestFit="1" customWidth="1"/>
    <col min="2" max="2" width="9.42578125" bestFit="1" customWidth="1"/>
    <col min="3" max="3" width="10.7109375" customWidth="1"/>
    <col min="4" max="4" width="10.85546875" bestFit="1" customWidth="1"/>
  </cols>
  <sheetData>
    <row r="1" spans="1:1" x14ac:dyDescent="0.25">
      <c r="A1" s="1" t="s">
        <v>33</v>
      </c>
    </row>
    <row r="2" spans="1:1" x14ac:dyDescent="0.25">
      <c r="A2" s="1" t="s">
        <v>249</v>
      </c>
    </row>
    <row r="3" spans="1:1" x14ac:dyDescent="0.25">
      <c r="A3" s="1" t="s">
        <v>250</v>
      </c>
    </row>
    <row r="4" spans="1:1" x14ac:dyDescent="0.25">
      <c r="A4" s="1" t="s">
        <v>251</v>
      </c>
    </row>
    <row r="5" spans="1:1" x14ac:dyDescent="0.25">
      <c r="A5" s="1" t="s">
        <v>204</v>
      </c>
    </row>
    <row r="6" spans="1:1" x14ac:dyDescent="0.25">
      <c r="A6" s="1" t="s">
        <v>252</v>
      </c>
    </row>
    <row r="7" spans="1:1" x14ac:dyDescent="0.25">
      <c r="A7" s="1" t="s">
        <v>64</v>
      </c>
    </row>
    <row r="8" spans="1:1" x14ac:dyDescent="0.25">
      <c r="A8" s="1" t="s">
        <v>253</v>
      </c>
    </row>
    <row r="9" spans="1:1" x14ac:dyDescent="0.25">
      <c r="A9" s="1" t="s">
        <v>161</v>
      </c>
    </row>
    <row r="10" spans="1:1" x14ac:dyDescent="0.25">
      <c r="A10" s="1" t="s">
        <v>6</v>
      </c>
    </row>
    <row r="11" spans="1:1" x14ac:dyDescent="0.25">
      <c r="A11" s="1" t="s">
        <v>249</v>
      </c>
    </row>
    <row r="12" spans="1:1" x14ac:dyDescent="0.25">
      <c r="A12" s="1" t="s">
        <v>166</v>
      </c>
    </row>
    <row r="13" spans="1:1" x14ac:dyDescent="0.25">
      <c r="A13" s="1" t="s">
        <v>168</v>
      </c>
    </row>
    <row r="14" spans="1:1" x14ac:dyDescent="0.25">
      <c r="A14" s="1" t="s">
        <v>204</v>
      </c>
    </row>
    <row r="15" spans="1:1" x14ac:dyDescent="0.25">
      <c r="A15" s="1" t="s">
        <v>254</v>
      </c>
    </row>
    <row r="16" spans="1:1" x14ac:dyDescent="0.25">
      <c r="A16" s="1" t="s">
        <v>64</v>
      </c>
    </row>
    <row r="17" spans="1:1" x14ac:dyDescent="0.25">
      <c r="A17" s="1" t="s">
        <v>255</v>
      </c>
    </row>
    <row r="18" spans="1:1" x14ac:dyDescent="0.25">
      <c r="A18" s="1" t="s">
        <v>161</v>
      </c>
    </row>
    <row r="19" spans="1:1" x14ac:dyDescent="0.25">
      <c r="A19" s="1" t="s">
        <v>6</v>
      </c>
    </row>
    <row r="20" spans="1:1" x14ac:dyDescent="0.25">
      <c r="A20" s="1" t="s">
        <v>249</v>
      </c>
    </row>
    <row r="21" spans="1:1" x14ac:dyDescent="0.25">
      <c r="A21" s="1" t="s">
        <v>250</v>
      </c>
    </row>
    <row r="22" spans="1:1" x14ac:dyDescent="0.25">
      <c r="A22" s="1" t="s">
        <v>193</v>
      </c>
    </row>
    <row r="23" spans="1:1" x14ac:dyDescent="0.25">
      <c r="A23" s="1" t="s">
        <v>204</v>
      </c>
    </row>
    <row r="24" spans="1:1" x14ac:dyDescent="0.25">
      <c r="A24" s="1" t="s">
        <v>256</v>
      </c>
    </row>
    <row r="25" spans="1:1" x14ac:dyDescent="0.25">
      <c r="A25" s="1" t="s">
        <v>64</v>
      </c>
    </row>
    <row r="26" spans="1:1" x14ac:dyDescent="0.25">
      <c r="A26" s="1" t="s">
        <v>233</v>
      </c>
    </row>
    <row r="27" spans="1:1" x14ac:dyDescent="0.25">
      <c r="A27" s="1" t="s">
        <v>161</v>
      </c>
    </row>
    <row r="28" spans="1:1" x14ac:dyDescent="0.25">
      <c r="A28" s="1" t="s">
        <v>6</v>
      </c>
    </row>
    <row r="29" spans="1:1" x14ac:dyDescent="0.25">
      <c r="A29" s="1" t="s">
        <v>249</v>
      </c>
    </row>
    <row r="30" spans="1:1" x14ac:dyDescent="0.25">
      <c r="A30" s="1" t="s">
        <v>380</v>
      </c>
    </row>
    <row r="31" spans="1:1" x14ac:dyDescent="0.25">
      <c r="A31" s="1" t="s">
        <v>168</v>
      </c>
    </row>
    <row r="32" spans="1:1" x14ac:dyDescent="0.25">
      <c r="A32" s="1" t="s">
        <v>143</v>
      </c>
    </row>
    <row r="33" spans="1:1" x14ac:dyDescent="0.25">
      <c r="A33" s="1" t="s">
        <v>381</v>
      </c>
    </row>
    <row r="34" spans="1:1" x14ac:dyDescent="0.25">
      <c r="A34" s="1" t="s">
        <v>64</v>
      </c>
    </row>
    <row r="35" spans="1:1" x14ac:dyDescent="0.25">
      <c r="A35" s="1" t="s">
        <v>382</v>
      </c>
    </row>
    <row r="36" spans="1:1" x14ac:dyDescent="0.25">
      <c r="A36" s="1" t="s">
        <v>161</v>
      </c>
    </row>
    <row r="37" spans="1:1" x14ac:dyDescent="0.25">
      <c r="A37" s="1" t="s">
        <v>6</v>
      </c>
    </row>
    <row r="38" spans="1:1" x14ac:dyDescent="0.25">
      <c r="A38" s="1" t="s">
        <v>249</v>
      </c>
    </row>
    <row r="39" spans="1:1" x14ac:dyDescent="0.25">
      <c r="A39" s="1" t="s">
        <v>406</v>
      </c>
    </row>
    <row r="40" spans="1:1" x14ac:dyDescent="0.25">
      <c r="A40" s="1" t="s">
        <v>344</v>
      </c>
    </row>
    <row r="41" spans="1:1" x14ac:dyDescent="0.25">
      <c r="A41" s="1" t="s">
        <v>185</v>
      </c>
    </row>
    <row r="42" spans="1:1" x14ac:dyDescent="0.25">
      <c r="A42" s="1" t="s">
        <v>407</v>
      </c>
    </row>
    <row r="43" spans="1:1" x14ac:dyDescent="0.25">
      <c r="A43" s="1" t="s">
        <v>149</v>
      </c>
    </row>
    <row r="44" spans="1:1" x14ac:dyDescent="0.25">
      <c r="A44" s="1" t="s">
        <v>408</v>
      </c>
    </row>
    <row r="45" spans="1:1" x14ac:dyDescent="0.25">
      <c r="A45" s="1" t="s">
        <v>161</v>
      </c>
    </row>
    <row r="46" spans="1:1" x14ac:dyDescent="0.25">
      <c r="A46" s="1" t="s">
        <v>6</v>
      </c>
    </row>
    <row r="47" spans="1:1" x14ac:dyDescent="0.25">
      <c r="A47" s="1" t="s">
        <v>249</v>
      </c>
    </row>
    <row r="48" spans="1:1" x14ac:dyDescent="0.25">
      <c r="A48" s="1" t="s">
        <v>409</v>
      </c>
    </row>
    <row r="49" spans="1:1" x14ac:dyDescent="0.25">
      <c r="A49" s="1" t="s">
        <v>203</v>
      </c>
    </row>
    <row r="50" spans="1:1" x14ac:dyDescent="0.25">
      <c r="A50" s="1" t="s">
        <v>204</v>
      </c>
    </row>
    <row r="51" spans="1:1" x14ac:dyDescent="0.25">
      <c r="A51" s="1" t="s">
        <v>256</v>
      </c>
    </row>
    <row r="52" spans="1:1" x14ac:dyDescent="0.25">
      <c r="A52" s="1" t="s">
        <v>64</v>
      </c>
    </row>
    <row r="53" spans="1:1" x14ac:dyDescent="0.25">
      <c r="A53" s="1" t="s">
        <v>294</v>
      </c>
    </row>
    <row r="54" spans="1:1" x14ac:dyDescent="0.25">
      <c r="A54" s="1" t="s">
        <v>161</v>
      </c>
    </row>
    <row r="55" spans="1:1" x14ac:dyDescent="0.25">
      <c r="A55" s="1" t="s">
        <v>6</v>
      </c>
    </row>
    <row r="56" spans="1:1" x14ac:dyDescent="0.25">
      <c r="A56" s="1" t="s">
        <v>249</v>
      </c>
    </row>
    <row r="57" spans="1:1" x14ac:dyDescent="0.25">
      <c r="A57" s="1" t="s">
        <v>410</v>
      </c>
    </row>
    <row r="58" spans="1:1" x14ac:dyDescent="0.25">
      <c r="A58" s="1" t="s">
        <v>203</v>
      </c>
    </row>
    <row r="59" spans="1:1" x14ac:dyDescent="0.25">
      <c r="A59" s="1" t="s">
        <v>143</v>
      </c>
    </row>
    <row r="60" spans="1:1" x14ac:dyDescent="0.25">
      <c r="A60" s="1" t="s">
        <v>293</v>
      </c>
    </row>
    <row r="61" spans="1:1" x14ac:dyDescent="0.25">
      <c r="A61" s="1" t="s">
        <v>64</v>
      </c>
    </row>
    <row r="62" spans="1:1" x14ac:dyDescent="0.25">
      <c r="A62" s="1" t="s">
        <v>411</v>
      </c>
    </row>
    <row r="63" spans="1:1" x14ac:dyDescent="0.25">
      <c r="A63" s="1" t="s">
        <v>161</v>
      </c>
    </row>
    <row r="64" spans="1:1" x14ac:dyDescent="0.25">
      <c r="A64" s="1" t="s">
        <v>6</v>
      </c>
    </row>
    <row r="65" spans="1:1" x14ac:dyDescent="0.25">
      <c r="A65" s="1" t="s">
        <v>249</v>
      </c>
    </row>
    <row r="66" spans="1:1" x14ac:dyDescent="0.25">
      <c r="A66" s="1" t="s">
        <v>449</v>
      </c>
    </row>
    <row r="67" spans="1:1" x14ac:dyDescent="0.25">
      <c r="A67" s="1" t="s">
        <v>450</v>
      </c>
    </row>
    <row r="68" spans="1:1" x14ac:dyDescent="0.25">
      <c r="A68" s="1" t="s">
        <v>46</v>
      </c>
    </row>
    <row r="69" spans="1:1" x14ac:dyDescent="0.25">
      <c r="A69" s="1" t="s">
        <v>451</v>
      </c>
    </row>
    <row r="70" spans="1:1" x14ac:dyDescent="0.25">
      <c r="A70" s="1" t="s">
        <v>149</v>
      </c>
    </row>
    <row r="71" spans="1:1" x14ac:dyDescent="0.25">
      <c r="A71" s="1" t="s">
        <v>452</v>
      </c>
    </row>
    <row r="72" spans="1:1" x14ac:dyDescent="0.25">
      <c r="A72" s="1" t="s">
        <v>161</v>
      </c>
    </row>
    <row r="73" spans="1:1" x14ac:dyDescent="0.25">
      <c r="A73" s="1" t="s">
        <v>6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06"/>
  <sheetViews>
    <sheetView topLeftCell="A433" workbookViewId="0">
      <selection activeCell="A426" sqref="A426"/>
    </sheetView>
  </sheetViews>
  <sheetFormatPr defaultRowHeight="15" x14ac:dyDescent="0.25"/>
  <cols>
    <col min="1" max="1" width="81.140625" bestFit="1" customWidth="1"/>
  </cols>
  <sheetData>
    <row r="1" spans="1:1" x14ac:dyDescent="0.25">
      <c r="A1" s="1" t="s">
        <v>0</v>
      </c>
    </row>
    <row r="2" spans="1:1" x14ac:dyDescent="0.25">
      <c r="A2" s="1" t="s">
        <v>13</v>
      </c>
    </row>
    <row r="3" spans="1:1" x14ac:dyDescent="0.25">
      <c r="A3" s="1" t="s">
        <v>44</v>
      </c>
    </row>
    <row r="4" spans="1:1" x14ac:dyDescent="0.25">
      <c r="A4" s="1" t="s">
        <v>45</v>
      </c>
    </row>
    <row r="5" spans="1:1" x14ac:dyDescent="0.25">
      <c r="A5" s="1" t="s">
        <v>46</v>
      </c>
    </row>
    <row r="6" spans="1:1" x14ac:dyDescent="0.25">
      <c r="A6" s="1" t="s">
        <v>47</v>
      </c>
    </row>
    <row r="7" spans="1:1" x14ac:dyDescent="0.25">
      <c r="A7" s="1" t="s">
        <v>48</v>
      </c>
    </row>
    <row r="8" spans="1:1" x14ac:dyDescent="0.25">
      <c r="A8" s="1" t="s">
        <v>49</v>
      </c>
    </row>
    <row r="9" spans="1:1" x14ac:dyDescent="0.25">
      <c r="A9" s="1" t="s">
        <v>18</v>
      </c>
    </row>
    <row r="10" spans="1:1" x14ac:dyDescent="0.25">
      <c r="A10" s="1" t="s">
        <v>6</v>
      </c>
    </row>
    <row r="11" spans="1:1" x14ac:dyDescent="0.25">
      <c r="A11" s="1" t="s">
        <v>13</v>
      </c>
    </row>
    <row r="12" spans="1:1" x14ac:dyDescent="0.25">
      <c r="A12" s="1" t="s">
        <v>66</v>
      </c>
    </row>
    <row r="13" spans="1:1" x14ac:dyDescent="0.25">
      <c r="A13" s="1" t="s">
        <v>67</v>
      </c>
    </row>
    <row r="14" spans="1:1" x14ac:dyDescent="0.25">
      <c r="A14" s="1" t="s">
        <v>57</v>
      </c>
    </row>
    <row r="15" spans="1:1" x14ac:dyDescent="0.25">
      <c r="A15" s="1" t="s">
        <v>68</v>
      </c>
    </row>
    <row r="16" spans="1:1" x14ac:dyDescent="0.25">
      <c r="A16" s="1" t="s">
        <v>69</v>
      </c>
    </row>
    <row r="17" spans="1:1" x14ac:dyDescent="0.25">
      <c r="A17" s="1" t="s">
        <v>70</v>
      </c>
    </row>
    <row r="18" spans="1:1" x14ac:dyDescent="0.25">
      <c r="A18" s="1" t="s">
        <v>18</v>
      </c>
    </row>
    <row r="19" spans="1:1" x14ac:dyDescent="0.25">
      <c r="A19" s="1" t="s">
        <v>6</v>
      </c>
    </row>
    <row r="20" spans="1:1" x14ac:dyDescent="0.25">
      <c r="A20" s="1" t="s">
        <v>13</v>
      </c>
    </row>
    <row r="21" spans="1:1" x14ac:dyDescent="0.25">
      <c r="A21" s="1" t="s">
        <v>71</v>
      </c>
    </row>
    <row r="22" spans="1:1" x14ac:dyDescent="0.25">
      <c r="A22" s="1" t="s">
        <v>67</v>
      </c>
    </row>
    <row r="23" spans="1:1" x14ac:dyDescent="0.25">
      <c r="A23" s="1" t="s">
        <v>52</v>
      </c>
    </row>
    <row r="24" spans="1:1" x14ac:dyDescent="0.25">
      <c r="A24" s="1" t="s">
        <v>72</v>
      </c>
    </row>
    <row r="25" spans="1:1" x14ac:dyDescent="0.25">
      <c r="A25" s="1" t="s">
        <v>54</v>
      </c>
    </row>
    <row r="26" spans="1:1" x14ac:dyDescent="0.25">
      <c r="A26" s="1" t="s">
        <v>49</v>
      </c>
    </row>
    <row r="27" spans="1:1" x14ac:dyDescent="0.25">
      <c r="A27" s="1" t="s">
        <v>18</v>
      </c>
    </row>
    <row r="28" spans="1:1" x14ac:dyDescent="0.25">
      <c r="A28" s="1" t="s">
        <v>6</v>
      </c>
    </row>
    <row r="29" spans="1:1" x14ac:dyDescent="0.25">
      <c r="A29" s="1" t="s">
        <v>13</v>
      </c>
    </row>
    <row r="30" spans="1:1" x14ac:dyDescent="0.25">
      <c r="A30" s="1" t="s">
        <v>142</v>
      </c>
    </row>
    <row r="31" spans="1:1" x14ac:dyDescent="0.25">
      <c r="A31" s="1" t="s">
        <v>45</v>
      </c>
    </row>
    <row r="32" spans="1:1" x14ac:dyDescent="0.25">
      <c r="A32" s="1" t="s">
        <v>143</v>
      </c>
    </row>
    <row r="33" spans="1:1" x14ac:dyDescent="0.25">
      <c r="A33" s="1" t="s">
        <v>144</v>
      </c>
    </row>
    <row r="34" spans="1:1" x14ac:dyDescent="0.25">
      <c r="A34" s="1" t="s">
        <v>64</v>
      </c>
    </row>
    <row r="35" spans="1:1" x14ac:dyDescent="0.25">
      <c r="A35" s="1" t="s">
        <v>49</v>
      </c>
    </row>
    <row r="36" spans="1:1" x14ac:dyDescent="0.25">
      <c r="A36" s="1" t="s">
        <v>18</v>
      </c>
    </row>
    <row r="37" spans="1:1" x14ac:dyDescent="0.25">
      <c r="A37" s="1" t="s">
        <v>6</v>
      </c>
    </row>
    <row r="38" spans="1:1" x14ac:dyDescent="0.25">
      <c r="A38" s="1" t="s">
        <v>13</v>
      </c>
    </row>
    <row r="39" spans="1:1" x14ac:dyDescent="0.25">
      <c r="A39" s="1" t="s">
        <v>154</v>
      </c>
    </row>
    <row r="40" spans="1:1" x14ac:dyDescent="0.25">
      <c r="A40" s="1" t="s">
        <v>45</v>
      </c>
    </row>
    <row r="41" spans="1:1" x14ac:dyDescent="0.25">
      <c r="A41" s="1" t="s">
        <v>147</v>
      </c>
    </row>
    <row r="42" spans="1:1" x14ac:dyDescent="0.25">
      <c r="A42" s="1" t="s">
        <v>155</v>
      </c>
    </row>
    <row r="43" spans="1:1" x14ac:dyDescent="0.25">
      <c r="A43" s="1" t="s">
        <v>64</v>
      </c>
    </row>
    <row r="44" spans="1:1" x14ac:dyDescent="0.25">
      <c r="A44" s="1" t="s">
        <v>49</v>
      </c>
    </row>
    <row r="45" spans="1:1" x14ac:dyDescent="0.25">
      <c r="A45" s="1" t="s">
        <v>18</v>
      </c>
    </row>
    <row r="46" spans="1:1" x14ac:dyDescent="0.25">
      <c r="A46" s="1" t="s">
        <v>6</v>
      </c>
    </row>
    <row r="47" spans="1:1" x14ac:dyDescent="0.25">
      <c r="A47" s="1" t="s">
        <v>13</v>
      </c>
    </row>
    <row r="48" spans="1:1" x14ac:dyDescent="0.25">
      <c r="A48" s="1" t="s">
        <v>164</v>
      </c>
    </row>
    <row r="49" spans="1:1" x14ac:dyDescent="0.25">
      <c r="A49" s="1" t="s">
        <v>165</v>
      </c>
    </row>
    <row r="50" spans="1:1" x14ac:dyDescent="0.25">
      <c r="A50" s="1" t="s">
        <v>46</v>
      </c>
    </row>
    <row r="51" spans="1:1" x14ac:dyDescent="0.25">
      <c r="A51" s="1" t="s">
        <v>158</v>
      </c>
    </row>
    <row r="52" spans="1:1" x14ac:dyDescent="0.25">
      <c r="A52" s="1" t="s">
        <v>48</v>
      </c>
    </row>
    <row r="53" spans="1:1" x14ac:dyDescent="0.25">
      <c r="A53" s="1" t="s">
        <v>166</v>
      </c>
    </row>
    <row r="54" spans="1:1" x14ac:dyDescent="0.25">
      <c r="A54" s="1" t="s">
        <v>161</v>
      </c>
    </row>
    <row r="55" spans="1:1" x14ac:dyDescent="0.25">
      <c r="A55" s="1" t="s">
        <v>6</v>
      </c>
    </row>
    <row r="56" spans="1:1" x14ac:dyDescent="0.25">
      <c r="A56" s="1" t="s">
        <v>13</v>
      </c>
    </row>
    <row r="57" spans="1:1" x14ac:dyDescent="0.25">
      <c r="A57" s="1" t="s">
        <v>167</v>
      </c>
    </row>
    <row r="58" spans="1:1" x14ac:dyDescent="0.25">
      <c r="A58" s="1" t="s">
        <v>168</v>
      </c>
    </row>
    <row r="59" spans="1:1" x14ac:dyDescent="0.25">
      <c r="A59" s="1" t="s">
        <v>57</v>
      </c>
    </row>
    <row r="60" spans="1:1" x14ac:dyDescent="0.25">
      <c r="A60" s="1" t="s">
        <v>158</v>
      </c>
    </row>
    <row r="61" spans="1:1" x14ac:dyDescent="0.25">
      <c r="A61" s="1" t="s">
        <v>54</v>
      </c>
    </row>
    <row r="62" spans="1:1" x14ac:dyDescent="0.25">
      <c r="A62" s="1" t="s">
        <v>158</v>
      </c>
    </row>
    <row r="63" spans="1:1" x14ac:dyDescent="0.25">
      <c r="A63" s="1" t="s">
        <v>161</v>
      </c>
    </row>
    <row r="64" spans="1:1" x14ac:dyDescent="0.25">
      <c r="A64" s="1" t="s">
        <v>6</v>
      </c>
    </row>
    <row r="65" spans="1:1" x14ac:dyDescent="0.25">
      <c r="A65" s="1" t="s">
        <v>13</v>
      </c>
    </row>
    <row r="66" spans="1:1" x14ac:dyDescent="0.25">
      <c r="A66" s="1" t="s">
        <v>169</v>
      </c>
    </row>
    <row r="67" spans="1:1" x14ac:dyDescent="0.25">
      <c r="A67" s="1" t="s">
        <v>170</v>
      </c>
    </row>
    <row r="68" spans="1:1" x14ac:dyDescent="0.25">
      <c r="A68" s="1" t="s">
        <v>143</v>
      </c>
    </row>
    <row r="69" spans="1:1" x14ac:dyDescent="0.25">
      <c r="A69" s="1" t="s">
        <v>171</v>
      </c>
    </row>
    <row r="70" spans="1:1" x14ac:dyDescent="0.25">
      <c r="A70" s="1" t="s">
        <v>64</v>
      </c>
    </row>
    <row r="71" spans="1:1" x14ac:dyDescent="0.25">
      <c r="A71" s="1" t="s">
        <v>148</v>
      </c>
    </row>
    <row r="72" spans="1:1" x14ac:dyDescent="0.25">
      <c r="A72" s="1" t="s">
        <v>161</v>
      </c>
    </row>
    <row r="73" spans="1:1" x14ac:dyDescent="0.25">
      <c r="A73" s="1" t="s">
        <v>6</v>
      </c>
    </row>
    <row r="74" spans="1:1" x14ac:dyDescent="0.25">
      <c r="A74" s="1" t="s">
        <v>13</v>
      </c>
    </row>
    <row r="75" spans="1:1" x14ac:dyDescent="0.25">
      <c r="A75" s="1" t="s">
        <v>172</v>
      </c>
    </row>
    <row r="76" spans="1:1" x14ac:dyDescent="0.25">
      <c r="A76" s="1" t="s">
        <v>170</v>
      </c>
    </row>
    <row r="77" spans="1:1" x14ac:dyDescent="0.25">
      <c r="A77" s="1" t="s">
        <v>57</v>
      </c>
    </row>
    <row r="78" spans="1:1" x14ac:dyDescent="0.25">
      <c r="A78" s="1" t="s">
        <v>68</v>
      </c>
    </row>
    <row r="79" spans="1:1" x14ac:dyDescent="0.25">
      <c r="A79" s="1" t="s">
        <v>54</v>
      </c>
    </row>
    <row r="80" spans="1:1" x14ac:dyDescent="0.25">
      <c r="A80" s="1" t="s">
        <v>173</v>
      </c>
    </row>
    <row r="81" spans="1:1" x14ac:dyDescent="0.25">
      <c r="A81" s="1" t="s">
        <v>161</v>
      </c>
    </row>
    <row r="82" spans="1:1" x14ac:dyDescent="0.25">
      <c r="A82" s="1" t="s">
        <v>6</v>
      </c>
    </row>
    <row r="83" spans="1:1" x14ac:dyDescent="0.25">
      <c r="A83" s="1" t="s">
        <v>13</v>
      </c>
    </row>
    <row r="84" spans="1:1" x14ac:dyDescent="0.25">
      <c r="A84" s="1" t="s">
        <v>158</v>
      </c>
    </row>
    <row r="85" spans="1:1" x14ac:dyDescent="0.25">
      <c r="A85" s="1" t="s">
        <v>181</v>
      </c>
    </row>
    <row r="86" spans="1:1" x14ac:dyDescent="0.25">
      <c r="A86" s="1" t="s">
        <v>147</v>
      </c>
    </row>
    <row r="87" spans="1:1" x14ac:dyDescent="0.25">
      <c r="A87" s="1" t="s">
        <v>158</v>
      </c>
    </row>
    <row r="88" spans="1:1" x14ac:dyDescent="0.25">
      <c r="A88" s="1" t="s">
        <v>54</v>
      </c>
    </row>
    <row r="89" spans="1:1" x14ac:dyDescent="0.25">
      <c r="A89" s="1" t="s">
        <v>158</v>
      </c>
    </row>
    <row r="90" spans="1:1" x14ac:dyDescent="0.25">
      <c r="A90" s="1" t="s">
        <v>161</v>
      </c>
    </row>
    <row r="91" spans="1:1" x14ac:dyDescent="0.25">
      <c r="A91" s="1" t="s">
        <v>6</v>
      </c>
    </row>
    <row r="92" spans="1:1" x14ac:dyDescent="0.25">
      <c r="A92" s="1" t="s">
        <v>13</v>
      </c>
    </row>
    <row r="93" spans="1:1" x14ac:dyDescent="0.25">
      <c r="A93" s="1" t="s">
        <v>257</v>
      </c>
    </row>
    <row r="94" spans="1:1" x14ac:dyDescent="0.25">
      <c r="A94" s="1" t="s">
        <v>170</v>
      </c>
    </row>
    <row r="95" spans="1:1" x14ac:dyDescent="0.25">
      <c r="A95" s="1" t="s">
        <v>204</v>
      </c>
    </row>
    <row r="96" spans="1:1" x14ac:dyDescent="0.25">
      <c r="A96" s="1" t="s">
        <v>258</v>
      </c>
    </row>
    <row r="97" spans="1:1" x14ac:dyDescent="0.25">
      <c r="A97" s="1" t="s">
        <v>159</v>
      </c>
    </row>
    <row r="98" spans="1:1" x14ac:dyDescent="0.25">
      <c r="A98" s="1" t="s">
        <v>49</v>
      </c>
    </row>
    <row r="99" spans="1:1" x14ac:dyDescent="0.25">
      <c r="A99" s="1" t="s">
        <v>161</v>
      </c>
    </row>
    <row r="100" spans="1:1" x14ac:dyDescent="0.25">
      <c r="A100" s="1" t="s">
        <v>6</v>
      </c>
    </row>
    <row r="101" spans="1:1" x14ac:dyDescent="0.25">
      <c r="A101" s="1" t="s">
        <v>13</v>
      </c>
    </row>
    <row r="102" spans="1:1" x14ac:dyDescent="0.25">
      <c r="A102" s="1" t="s">
        <v>71</v>
      </c>
    </row>
    <row r="103" spans="1:1" x14ac:dyDescent="0.25">
      <c r="A103" s="1" t="s">
        <v>170</v>
      </c>
    </row>
    <row r="104" spans="1:1" x14ac:dyDescent="0.25">
      <c r="A104" s="1" t="s">
        <v>204</v>
      </c>
    </row>
    <row r="105" spans="1:1" x14ac:dyDescent="0.25">
      <c r="A105" s="1" t="s">
        <v>258</v>
      </c>
    </row>
    <row r="106" spans="1:1" x14ac:dyDescent="0.25">
      <c r="A106" s="1" t="s">
        <v>159</v>
      </c>
    </row>
    <row r="107" spans="1:1" x14ac:dyDescent="0.25">
      <c r="A107" s="1" t="s">
        <v>148</v>
      </c>
    </row>
    <row r="108" spans="1:1" x14ac:dyDescent="0.25">
      <c r="A108" s="1" t="s">
        <v>161</v>
      </c>
    </row>
    <row r="109" spans="1:1" x14ac:dyDescent="0.25">
      <c r="A109" s="1" t="s">
        <v>6</v>
      </c>
    </row>
    <row r="110" spans="1:1" x14ac:dyDescent="0.25">
      <c r="A110" s="1" t="s">
        <v>13</v>
      </c>
    </row>
    <row r="111" spans="1:1" x14ac:dyDescent="0.25">
      <c r="A111" s="1" t="s">
        <v>158</v>
      </c>
    </row>
    <row r="112" spans="1:1" x14ac:dyDescent="0.25">
      <c r="A112" s="1" t="s">
        <v>176</v>
      </c>
    </row>
    <row r="113" spans="1:1" x14ac:dyDescent="0.25">
      <c r="A113" s="1" t="s">
        <v>52</v>
      </c>
    </row>
    <row r="114" spans="1:1" x14ac:dyDescent="0.25">
      <c r="A114" s="1" t="s">
        <v>259</v>
      </c>
    </row>
    <row r="115" spans="1:1" x14ac:dyDescent="0.25">
      <c r="A115" s="1" t="s">
        <v>54</v>
      </c>
    </row>
    <row r="116" spans="1:1" x14ac:dyDescent="0.25">
      <c r="A116" s="1" t="s">
        <v>70</v>
      </c>
    </row>
    <row r="117" spans="1:1" x14ac:dyDescent="0.25">
      <c r="A117" s="1" t="s">
        <v>161</v>
      </c>
    </row>
    <row r="118" spans="1:1" x14ac:dyDescent="0.25">
      <c r="A118" s="1" t="s">
        <v>6</v>
      </c>
    </row>
    <row r="119" spans="1:1" x14ac:dyDescent="0.25">
      <c r="A119" s="1" t="s">
        <v>13</v>
      </c>
    </row>
    <row r="120" spans="1:1" x14ac:dyDescent="0.25">
      <c r="A120" s="1" t="s">
        <v>260</v>
      </c>
    </row>
    <row r="121" spans="1:1" x14ac:dyDescent="0.25">
      <c r="A121" s="1" t="s">
        <v>193</v>
      </c>
    </row>
    <row r="122" spans="1:1" x14ac:dyDescent="0.25">
      <c r="A122" s="1" t="s">
        <v>185</v>
      </c>
    </row>
    <row r="123" spans="1:1" x14ac:dyDescent="0.25">
      <c r="A123" s="1" t="s">
        <v>223</v>
      </c>
    </row>
    <row r="124" spans="1:1" x14ac:dyDescent="0.25">
      <c r="A124" s="1" t="s">
        <v>224</v>
      </c>
    </row>
    <row r="125" spans="1:1" x14ac:dyDescent="0.25">
      <c r="A125" s="1" t="s">
        <v>261</v>
      </c>
    </row>
    <row r="126" spans="1:1" x14ac:dyDescent="0.25">
      <c r="A126" s="1" t="s">
        <v>161</v>
      </c>
    </row>
    <row r="127" spans="1:1" x14ac:dyDescent="0.25">
      <c r="A127" s="1" t="s">
        <v>6</v>
      </c>
    </row>
    <row r="128" spans="1:1" x14ac:dyDescent="0.25">
      <c r="A128" s="1" t="s">
        <v>13</v>
      </c>
    </row>
    <row r="129" spans="1:1" x14ac:dyDescent="0.25">
      <c r="A129" s="1" t="s">
        <v>262</v>
      </c>
    </row>
    <row r="130" spans="1:1" x14ac:dyDescent="0.25">
      <c r="A130" s="1" t="s">
        <v>203</v>
      </c>
    </row>
    <row r="131" spans="1:1" x14ac:dyDescent="0.25">
      <c r="A131" s="1" t="s">
        <v>46</v>
      </c>
    </row>
    <row r="132" spans="1:1" x14ac:dyDescent="0.25">
      <c r="A132" s="1" t="s">
        <v>263</v>
      </c>
    </row>
    <row r="133" spans="1:1" x14ac:dyDescent="0.25">
      <c r="A133" s="1" t="s">
        <v>48</v>
      </c>
    </row>
    <row r="134" spans="1:1" x14ac:dyDescent="0.25">
      <c r="A134" s="1" t="s">
        <v>236</v>
      </c>
    </row>
    <row r="135" spans="1:1" x14ac:dyDescent="0.25">
      <c r="A135" s="1" t="s">
        <v>161</v>
      </c>
    </row>
    <row r="136" spans="1:1" x14ac:dyDescent="0.25">
      <c r="A136" s="1" t="s">
        <v>6</v>
      </c>
    </row>
    <row r="137" spans="1:1" x14ac:dyDescent="0.25">
      <c r="A137" s="1" t="s">
        <v>13</v>
      </c>
    </row>
    <row r="138" spans="1:1" x14ac:dyDescent="0.25">
      <c r="A138" s="1" t="s">
        <v>264</v>
      </c>
    </row>
    <row r="139" spans="1:1" x14ac:dyDescent="0.25">
      <c r="A139" s="1" t="s">
        <v>265</v>
      </c>
    </row>
    <row r="140" spans="1:1" x14ac:dyDescent="0.25">
      <c r="A140" s="1" t="s">
        <v>203</v>
      </c>
    </row>
    <row r="141" spans="1:1" x14ac:dyDescent="0.25">
      <c r="A141" s="1" t="s">
        <v>204</v>
      </c>
    </row>
    <row r="142" spans="1:1" x14ac:dyDescent="0.25">
      <c r="A142" s="1" t="s">
        <v>256</v>
      </c>
    </row>
    <row r="143" spans="1:1" x14ac:dyDescent="0.25">
      <c r="A143" s="1" t="s">
        <v>64</v>
      </c>
    </row>
    <row r="144" spans="1:1" x14ac:dyDescent="0.25">
      <c r="A144" s="1" t="s">
        <v>237</v>
      </c>
    </row>
    <row r="145" spans="1:1" x14ac:dyDescent="0.25">
      <c r="A145" s="1" t="s">
        <v>161</v>
      </c>
    </row>
    <row r="146" spans="1:1" x14ac:dyDescent="0.25">
      <c r="A146" s="1" t="s">
        <v>6</v>
      </c>
    </row>
    <row r="147" spans="1:1" x14ac:dyDescent="0.25">
      <c r="A147" s="1" t="s">
        <v>13</v>
      </c>
    </row>
    <row r="148" spans="1:1" x14ac:dyDescent="0.25">
      <c r="A148" s="1" t="s">
        <v>266</v>
      </c>
    </row>
    <row r="149" spans="1:1" x14ac:dyDescent="0.25">
      <c r="A149" s="1" t="s">
        <v>168</v>
      </c>
    </row>
    <row r="150" spans="1:1" x14ac:dyDescent="0.25">
      <c r="A150" s="1" t="s">
        <v>204</v>
      </c>
    </row>
    <row r="151" spans="1:1" x14ac:dyDescent="0.25">
      <c r="A151" s="1" t="s">
        <v>267</v>
      </c>
    </row>
    <row r="152" spans="1:1" x14ac:dyDescent="0.25">
      <c r="A152" s="1" t="s">
        <v>159</v>
      </c>
    </row>
    <row r="153" spans="1:1" x14ac:dyDescent="0.25">
      <c r="A153" s="1" t="s">
        <v>268</v>
      </c>
    </row>
    <row r="154" spans="1:1" x14ac:dyDescent="0.25">
      <c r="A154" s="1" t="s">
        <v>161</v>
      </c>
    </row>
    <row r="155" spans="1:1" x14ac:dyDescent="0.25">
      <c r="A155" s="1" t="s">
        <v>6</v>
      </c>
    </row>
    <row r="156" spans="1:1" x14ac:dyDescent="0.25">
      <c r="A156" s="1" t="s">
        <v>13</v>
      </c>
    </row>
    <row r="157" spans="1:1" x14ac:dyDescent="0.25">
      <c r="A157" s="1" t="s">
        <v>269</v>
      </c>
    </row>
    <row r="158" spans="1:1" x14ac:dyDescent="0.25">
      <c r="A158" s="1" t="s">
        <v>176</v>
      </c>
    </row>
    <row r="159" spans="1:1" x14ac:dyDescent="0.25">
      <c r="A159" s="1" t="s">
        <v>185</v>
      </c>
    </row>
    <row r="160" spans="1:1" x14ac:dyDescent="0.25">
      <c r="A160" s="1" t="s">
        <v>269</v>
      </c>
    </row>
    <row r="161" spans="1:1" x14ac:dyDescent="0.25">
      <c r="A161" s="1" t="s">
        <v>149</v>
      </c>
    </row>
    <row r="162" spans="1:1" x14ac:dyDescent="0.25">
      <c r="A162" s="1" t="s">
        <v>270</v>
      </c>
    </row>
    <row r="163" spans="1:1" x14ac:dyDescent="0.25">
      <c r="A163" s="1" t="s">
        <v>161</v>
      </c>
    </row>
    <row r="164" spans="1:1" x14ac:dyDescent="0.25">
      <c r="A164" s="1" t="s">
        <v>6</v>
      </c>
    </row>
    <row r="165" spans="1:1" x14ac:dyDescent="0.25">
      <c r="A165" s="1" t="s">
        <v>13</v>
      </c>
    </row>
    <row r="166" spans="1:1" x14ac:dyDescent="0.25">
      <c r="A166" s="1" t="s">
        <v>271</v>
      </c>
    </row>
    <row r="167" spans="1:1" x14ac:dyDescent="0.25">
      <c r="A167" s="1"/>
    </row>
    <row r="168" spans="1:1" x14ac:dyDescent="0.25">
      <c r="A168" s="1" t="s">
        <v>272</v>
      </c>
    </row>
    <row r="169" spans="1:1" x14ac:dyDescent="0.25">
      <c r="A169" s="1" t="s">
        <v>193</v>
      </c>
    </row>
    <row r="170" spans="1:1" x14ac:dyDescent="0.25">
      <c r="A170" s="1" t="s">
        <v>147</v>
      </c>
    </row>
    <row r="171" spans="1:1" x14ac:dyDescent="0.25">
      <c r="A171" s="1" t="s">
        <v>273</v>
      </c>
    </row>
    <row r="172" spans="1:1" x14ac:dyDescent="0.25">
      <c r="A172" s="1" t="s">
        <v>159</v>
      </c>
    </row>
    <row r="173" spans="1:1" x14ac:dyDescent="0.25">
      <c r="A173" s="1" t="s">
        <v>233</v>
      </c>
    </row>
    <row r="174" spans="1:1" x14ac:dyDescent="0.25">
      <c r="A174" s="1" t="s">
        <v>161</v>
      </c>
    </row>
    <row r="175" spans="1:1" x14ac:dyDescent="0.25">
      <c r="A175" s="1" t="s">
        <v>6</v>
      </c>
    </row>
    <row r="176" spans="1:1" x14ac:dyDescent="0.25">
      <c r="A176" s="1" t="s">
        <v>13</v>
      </c>
    </row>
    <row r="177" spans="1:1" x14ac:dyDescent="0.25">
      <c r="A177" s="1" t="s">
        <v>274</v>
      </c>
    </row>
    <row r="178" spans="1:1" x14ac:dyDescent="0.25">
      <c r="A178" s="1" t="s">
        <v>168</v>
      </c>
    </row>
    <row r="179" spans="1:1" x14ac:dyDescent="0.25">
      <c r="A179" s="1" t="s">
        <v>204</v>
      </c>
    </row>
    <row r="180" spans="1:1" x14ac:dyDescent="0.25">
      <c r="A180" s="1" t="s">
        <v>267</v>
      </c>
    </row>
    <row r="181" spans="1:1" x14ac:dyDescent="0.25">
      <c r="A181" s="1" t="s">
        <v>64</v>
      </c>
    </row>
    <row r="182" spans="1:1" x14ac:dyDescent="0.25">
      <c r="A182" s="1" t="s">
        <v>166</v>
      </c>
    </row>
    <row r="183" spans="1:1" x14ac:dyDescent="0.25">
      <c r="A183" s="1" t="s">
        <v>161</v>
      </c>
    </row>
    <row r="184" spans="1:1" x14ac:dyDescent="0.25">
      <c r="A184" s="1" t="s">
        <v>6</v>
      </c>
    </row>
    <row r="185" spans="1:1" x14ac:dyDescent="0.25">
      <c r="A185" s="1" t="s">
        <v>13</v>
      </c>
    </row>
    <row r="186" spans="1:1" x14ac:dyDescent="0.25">
      <c r="A186" s="1" t="s">
        <v>275</v>
      </c>
    </row>
    <row r="187" spans="1:1" x14ac:dyDescent="0.25">
      <c r="A187" s="1" t="s">
        <v>276</v>
      </c>
    </row>
    <row r="188" spans="1:1" x14ac:dyDescent="0.25">
      <c r="A188" s="1" t="s">
        <v>52</v>
      </c>
    </row>
    <row r="189" spans="1:1" x14ac:dyDescent="0.25">
      <c r="A189" s="1" t="s">
        <v>277</v>
      </c>
    </row>
    <row r="190" spans="1:1" x14ac:dyDescent="0.25">
      <c r="A190" s="1" t="s">
        <v>64</v>
      </c>
    </row>
    <row r="191" spans="1:1" x14ac:dyDescent="0.25">
      <c r="A191" s="1" t="s">
        <v>278</v>
      </c>
    </row>
    <row r="192" spans="1:1" x14ac:dyDescent="0.25">
      <c r="A192" s="1" t="s">
        <v>161</v>
      </c>
    </row>
    <row r="193" spans="1:1" x14ac:dyDescent="0.25">
      <c r="A193" s="1" t="s">
        <v>6</v>
      </c>
    </row>
    <row r="194" spans="1:1" x14ac:dyDescent="0.25">
      <c r="A194" s="1" t="s">
        <v>13</v>
      </c>
    </row>
    <row r="195" spans="1:1" x14ac:dyDescent="0.25">
      <c r="A195" s="1" t="s">
        <v>279</v>
      </c>
    </row>
    <row r="196" spans="1:1" x14ac:dyDescent="0.25">
      <c r="A196" s="1" t="s">
        <v>276</v>
      </c>
    </row>
    <row r="197" spans="1:1" x14ac:dyDescent="0.25">
      <c r="A197" s="1" t="s">
        <v>46</v>
      </c>
    </row>
    <row r="198" spans="1:1" x14ac:dyDescent="0.25">
      <c r="A198" s="1" t="s">
        <v>280</v>
      </c>
    </row>
    <row r="199" spans="1:1" x14ac:dyDescent="0.25">
      <c r="A199" s="1" t="s">
        <v>48</v>
      </c>
    </row>
    <row r="200" spans="1:1" x14ac:dyDescent="0.25">
      <c r="A200" s="1" t="s">
        <v>278</v>
      </c>
    </row>
    <row r="201" spans="1:1" x14ac:dyDescent="0.25">
      <c r="A201" s="1" t="s">
        <v>161</v>
      </c>
    </row>
    <row r="202" spans="1:1" x14ac:dyDescent="0.25">
      <c r="A202" s="1" t="s">
        <v>6</v>
      </c>
    </row>
    <row r="203" spans="1:1" x14ac:dyDescent="0.25">
      <c r="A203" s="1" t="s">
        <v>13</v>
      </c>
    </row>
    <row r="204" spans="1:1" x14ac:dyDescent="0.25">
      <c r="A204" s="1" t="s">
        <v>281</v>
      </c>
    </row>
    <row r="205" spans="1:1" x14ac:dyDescent="0.25">
      <c r="A205" s="1" t="s">
        <v>193</v>
      </c>
    </row>
    <row r="206" spans="1:1" x14ac:dyDescent="0.25">
      <c r="A206" s="1" t="s">
        <v>46</v>
      </c>
    </row>
    <row r="207" spans="1:1" x14ac:dyDescent="0.25">
      <c r="A207" s="1" t="s">
        <v>282</v>
      </c>
    </row>
    <row r="208" spans="1:1" x14ac:dyDescent="0.25">
      <c r="A208" s="1" t="s">
        <v>48</v>
      </c>
    </row>
    <row r="209" spans="1:1" x14ac:dyDescent="0.25">
      <c r="A209" s="1" t="s">
        <v>221</v>
      </c>
    </row>
    <row r="210" spans="1:1" x14ac:dyDescent="0.25">
      <c r="A210" s="1" t="s">
        <v>161</v>
      </c>
    </row>
    <row r="211" spans="1:1" x14ac:dyDescent="0.25">
      <c r="A211" s="1" t="s">
        <v>6</v>
      </c>
    </row>
    <row r="212" spans="1:1" x14ac:dyDescent="0.25">
      <c r="A212" s="1" t="s">
        <v>13</v>
      </c>
    </row>
    <row r="213" spans="1:1" x14ac:dyDescent="0.25">
      <c r="A213" s="1" t="s">
        <v>283</v>
      </c>
    </row>
    <row r="214" spans="1:1" x14ac:dyDescent="0.25">
      <c r="A214" s="1" t="s">
        <v>193</v>
      </c>
    </row>
    <row r="215" spans="1:1" x14ac:dyDescent="0.25">
      <c r="A215" s="1" t="s">
        <v>143</v>
      </c>
    </row>
    <row r="216" spans="1:1" x14ac:dyDescent="0.25">
      <c r="A216" s="1" t="s">
        <v>284</v>
      </c>
    </row>
    <row r="217" spans="1:1" x14ac:dyDescent="0.25">
      <c r="A217" s="1" t="s">
        <v>159</v>
      </c>
    </row>
    <row r="218" spans="1:1" x14ac:dyDescent="0.25">
      <c r="A218" s="1" t="s">
        <v>62</v>
      </c>
    </row>
    <row r="219" spans="1:1" x14ac:dyDescent="0.25">
      <c r="A219" s="1" t="s">
        <v>161</v>
      </c>
    </row>
    <row r="220" spans="1:1" x14ac:dyDescent="0.25">
      <c r="A220" s="1" t="s">
        <v>6</v>
      </c>
    </row>
    <row r="221" spans="1:1" x14ac:dyDescent="0.25">
      <c r="A221" s="1" t="s">
        <v>13</v>
      </c>
    </row>
    <row r="222" spans="1:1" x14ac:dyDescent="0.25">
      <c r="A222" s="1" t="s">
        <v>285</v>
      </c>
    </row>
    <row r="223" spans="1:1" x14ac:dyDescent="0.25">
      <c r="A223" s="1" t="s">
        <v>193</v>
      </c>
    </row>
    <row r="224" spans="1:1" x14ac:dyDescent="0.25">
      <c r="A224" s="1" t="s">
        <v>143</v>
      </c>
    </row>
    <row r="225" spans="1:1" x14ac:dyDescent="0.25">
      <c r="A225" s="1" t="s">
        <v>286</v>
      </c>
    </row>
    <row r="226" spans="1:1" x14ac:dyDescent="0.25">
      <c r="A226" s="1" t="s">
        <v>159</v>
      </c>
    </row>
    <row r="227" spans="1:1" x14ac:dyDescent="0.25">
      <c r="A227" s="1" t="s">
        <v>199</v>
      </c>
    </row>
    <row r="228" spans="1:1" x14ac:dyDescent="0.25">
      <c r="A228" s="1" t="s">
        <v>161</v>
      </c>
    </row>
    <row r="229" spans="1:1" x14ac:dyDescent="0.25">
      <c r="A229" s="1" t="s">
        <v>6</v>
      </c>
    </row>
    <row r="230" spans="1:1" x14ac:dyDescent="0.25">
      <c r="A230" s="1" t="s">
        <v>13</v>
      </c>
    </row>
    <row r="231" spans="1:1" x14ac:dyDescent="0.25">
      <c r="A231" s="1" t="s">
        <v>287</v>
      </c>
    </row>
    <row r="232" spans="1:1" x14ac:dyDescent="0.25">
      <c r="A232" s="1" t="s">
        <v>176</v>
      </c>
    </row>
    <row r="233" spans="1:1" x14ac:dyDescent="0.25">
      <c r="A233" s="1" t="s">
        <v>46</v>
      </c>
    </row>
    <row r="234" spans="1:1" x14ac:dyDescent="0.25">
      <c r="A234" s="1" t="s">
        <v>148</v>
      </c>
    </row>
    <row r="235" spans="1:1" x14ac:dyDescent="0.25">
      <c r="A235" s="1" t="s">
        <v>149</v>
      </c>
    </row>
    <row r="236" spans="1:1" x14ac:dyDescent="0.25">
      <c r="A236" s="1" t="s">
        <v>288</v>
      </c>
    </row>
    <row r="237" spans="1:1" x14ac:dyDescent="0.25">
      <c r="A237" s="1" t="s">
        <v>161</v>
      </c>
    </row>
    <row r="238" spans="1:1" x14ac:dyDescent="0.25">
      <c r="A238" s="1" t="s">
        <v>6</v>
      </c>
    </row>
    <row r="239" spans="1:1" x14ac:dyDescent="0.25">
      <c r="A239" s="1" t="s">
        <v>13</v>
      </c>
    </row>
    <row r="240" spans="1:1" x14ac:dyDescent="0.25">
      <c r="A240" s="1" t="s">
        <v>289</v>
      </c>
    </row>
    <row r="241" spans="1:1" x14ac:dyDescent="0.25">
      <c r="A241" s="1" t="s">
        <v>176</v>
      </c>
    </row>
    <row r="242" spans="1:1" x14ac:dyDescent="0.25">
      <c r="A242" s="1" t="s">
        <v>57</v>
      </c>
    </row>
    <row r="243" spans="1:1" x14ac:dyDescent="0.25">
      <c r="A243" s="1" t="s">
        <v>290</v>
      </c>
    </row>
    <row r="244" spans="1:1" x14ac:dyDescent="0.25">
      <c r="A244" s="1" t="s">
        <v>54</v>
      </c>
    </row>
    <row r="245" spans="1:1" x14ac:dyDescent="0.25">
      <c r="A245" s="1" t="s">
        <v>70</v>
      </c>
    </row>
    <row r="246" spans="1:1" x14ac:dyDescent="0.25">
      <c r="A246" s="1" t="s">
        <v>161</v>
      </c>
    </row>
    <row r="247" spans="1:1" x14ac:dyDescent="0.25">
      <c r="A247" s="1" t="s">
        <v>6</v>
      </c>
    </row>
    <row r="248" spans="1:1" x14ac:dyDescent="0.25">
      <c r="A248" s="1" t="s">
        <v>13</v>
      </c>
    </row>
    <row r="249" spans="1:1" x14ac:dyDescent="0.25">
      <c r="A249" s="1" t="s">
        <v>291</v>
      </c>
    </row>
    <row r="250" spans="1:1" x14ac:dyDescent="0.25">
      <c r="A250" s="1"/>
    </row>
    <row r="251" spans="1:1" x14ac:dyDescent="0.25">
      <c r="A251" s="1" t="s">
        <v>292</v>
      </c>
    </row>
    <row r="252" spans="1:1" x14ac:dyDescent="0.25">
      <c r="A252" s="1" t="s">
        <v>193</v>
      </c>
    </row>
    <row r="253" spans="1:1" x14ac:dyDescent="0.25">
      <c r="A253" s="1" t="s">
        <v>143</v>
      </c>
    </row>
    <row r="254" spans="1:1" x14ac:dyDescent="0.25">
      <c r="A254" s="1" t="s">
        <v>293</v>
      </c>
    </row>
    <row r="255" spans="1:1" x14ac:dyDescent="0.25">
      <c r="A255" s="1" t="s">
        <v>159</v>
      </c>
    </row>
    <row r="256" spans="1:1" x14ac:dyDescent="0.25">
      <c r="A256" s="1" t="s">
        <v>294</v>
      </c>
    </row>
    <row r="257" spans="1:1" x14ac:dyDescent="0.25">
      <c r="A257" s="1" t="s">
        <v>161</v>
      </c>
    </row>
    <row r="258" spans="1:1" x14ac:dyDescent="0.25">
      <c r="A258" s="1" t="s">
        <v>6</v>
      </c>
    </row>
    <row r="259" spans="1:1" x14ac:dyDescent="0.25">
      <c r="A259" s="1" t="s">
        <v>13</v>
      </c>
    </row>
    <row r="260" spans="1:1" x14ac:dyDescent="0.25">
      <c r="A260" s="1" t="s">
        <v>295</v>
      </c>
    </row>
    <row r="261" spans="1:1" x14ac:dyDescent="0.25">
      <c r="A261" s="1" t="s">
        <v>276</v>
      </c>
    </row>
    <row r="262" spans="1:1" x14ac:dyDescent="0.25">
      <c r="A262" s="1" t="s">
        <v>52</v>
      </c>
    </row>
    <row r="263" spans="1:1" x14ac:dyDescent="0.25">
      <c r="A263" s="1" t="s">
        <v>277</v>
      </c>
    </row>
    <row r="264" spans="1:1" x14ac:dyDescent="0.25">
      <c r="A264" s="1" t="s">
        <v>69</v>
      </c>
    </row>
    <row r="265" spans="1:1" x14ac:dyDescent="0.25">
      <c r="A265" s="1" t="s">
        <v>295</v>
      </c>
    </row>
    <row r="266" spans="1:1" x14ac:dyDescent="0.25">
      <c r="A266" s="1" t="s">
        <v>161</v>
      </c>
    </row>
    <row r="267" spans="1:1" x14ac:dyDescent="0.25">
      <c r="A267" s="1" t="s">
        <v>6</v>
      </c>
    </row>
    <row r="268" spans="1:1" x14ac:dyDescent="0.25">
      <c r="A268" s="1" t="s">
        <v>13</v>
      </c>
    </row>
    <row r="269" spans="1:1" x14ac:dyDescent="0.25">
      <c r="A269" s="1" t="s">
        <v>296</v>
      </c>
    </row>
    <row r="270" spans="1:1" x14ac:dyDescent="0.25">
      <c r="A270" s="1" t="s">
        <v>193</v>
      </c>
    </row>
    <row r="271" spans="1:1" x14ac:dyDescent="0.25">
      <c r="A271" s="1" t="s">
        <v>147</v>
      </c>
    </row>
    <row r="272" spans="1:1" x14ac:dyDescent="0.25">
      <c r="A272" s="1" t="s">
        <v>273</v>
      </c>
    </row>
    <row r="273" spans="1:1" x14ac:dyDescent="0.25">
      <c r="A273" s="1" t="s">
        <v>54</v>
      </c>
    </row>
    <row r="274" spans="1:1" x14ac:dyDescent="0.25">
      <c r="A274" s="1" t="s">
        <v>297</v>
      </c>
    </row>
    <row r="275" spans="1:1" x14ac:dyDescent="0.25">
      <c r="A275" s="1" t="s">
        <v>161</v>
      </c>
    </row>
    <row r="276" spans="1:1" x14ac:dyDescent="0.25">
      <c r="A276" s="1" t="s">
        <v>6</v>
      </c>
    </row>
    <row r="277" spans="1:1" x14ac:dyDescent="0.25">
      <c r="A277" s="1" t="s">
        <v>13</v>
      </c>
    </row>
    <row r="278" spans="1:1" x14ac:dyDescent="0.25">
      <c r="A278" s="1" t="s">
        <v>298</v>
      </c>
    </row>
    <row r="279" spans="1:1" x14ac:dyDescent="0.25">
      <c r="A279" s="1" t="s">
        <v>276</v>
      </c>
    </row>
    <row r="280" spans="1:1" x14ac:dyDescent="0.25">
      <c r="A280" s="1" t="s">
        <v>52</v>
      </c>
    </row>
    <row r="281" spans="1:1" x14ac:dyDescent="0.25">
      <c r="A281" s="1" t="s">
        <v>277</v>
      </c>
    </row>
    <row r="282" spans="1:1" x14ac:dyDescent="0.25">
      <c r="A282" s="1" t="s">
        <v>299</v>
      </c>
    </row>
    <row r="283" spans="1:1" x14ac:dyDescent="0.25">
      <c r="A283" s="1" t="s">
        <v>295</v>
      </c>
    </row>
    <row r="284" spans="1:1" x14ac:dyDescent="0.25">
      <c r="A284" s="1" t="s">
        <v>161</v>
      </c>
    </row>
    <row r="285" spans="1:1" x14ac:dyDescent="0.25">
      <c r="A285" s="1" t="s">
        <v>6</v>
      </c>
    </row>
    <row r="286" spans="1:1" x14ac:dyDescent="0.25">
      <c r="A286" s="1" t="s">
        <v>13</v>
      </c>
    </row>
    <row r="287" spans="1:1" x14ac:dyDescent="0.25">
      <c r="A287" s="1" t="s">
        <v>173</v>
      </c>
    </row>
    <row r="288" spans="1:1" x14ac:dyDescent="0.25">
      <c r="A288" s="1" t="s">
        <v>176</v>
      </c>
    </row>
    <row r="289" spans="1:1" x14ac:dyDescent="0.25">
      <c r="A289" s="1" t="s">
        <v>46</v>
      </c>
    </row>
    <row r="290" spans="1:1" x14ac:dyDescent="0.25">
      <c r="A290" s="1" t="s">
        <v>47</v>
      </c>
    </row>
    <row r="291" spans="1:1" x14ac:dyDescent="0.25">
      <c r="A291" s="1" t="s">
        <v>48</v>
      </c>
    </row>
    <row r="292" spans="1:1" x14ac:dyDescent="0.25">
      <c r="A292" s="1" t="s">
        <v>58</v>
      </c>
    </row>
    <row r="293" spans="1:1" x14ac:dyDescent="0.25">
      <c r="A293" s="1" t="s">
        <v>161</v>
      </c>
    </row>
    <row r="294" spans="1:1" x14ac:dyDescent="0.25">
      <c r="A294" s="1" t="s">
        <v>6</v>
      </c>
    </row>
    <row r="295" spans="1:1" x14ac:dyDescent="0.25">
      <c r="A295" s="1" t="s">
        <v>13</v>
      </c>
    </row>
    <row r="296" spans="1:1" x14ac:dyDescent="0.25">
      <c r="A296" s="1" t="s">
        <v>300</v>
      </c>
    </row>
    <row r="297" spans="1:1" x14ac:dyDescent="0.25">
      <c r="A297" s="1" t="s">
        <v>193</v>
      </c>
    </row>
    <row r="298" spans="1:1" x14ac:dyDescent="0.25">
      <c r="A298" s="1" t="s">
        <v>185</v>
      </c>
    </row>
    <row r="299" spans="1:1" x14ac:dyDescent="0.25">
      <c r="A299" s="1" t="s">
        <v>301</v>
      </c>
    </row>
    <row r="300" spans="1:1" x14ac:dyDescent="0.25">
      <c r="A300" s="1" t="s">
        <v>149</v>
      </c>
    </row>
    <row r="301" spans="1:1" x14ac:dyDescent="0.25">
      <c r="A301" s="1" t="s">
        <v>302</v>
      </c>
    </row>
    <row r="302" spans="1:1" x14ac:dyDescent="0.25">
      <c r="A302" s="1" t="s">
        <v>161</v>
      </c>
    </row>
    <row r="303" spans="1:1" x14ac:dyDescent="0.25">
      <c r="A303" s="1" t="s">
        <v>6</v>
      </c>
    </row>
    <row r="304" spans="1:1" x14ac:dyDescent="0.25">
      <c r="A304" s="1" t="s">
        <v>13</v>
      </c>
    </row>
    <row r="305" spans="1:1" x14ac:dyDescent="0.25">
      <c r="A305" s="1" t="s">
        <v>172</v>
      </c>
    </row>
    <row r="306" spans="1:1" x14ac:dyDescent="0.25">
      <c r="A306" s="1" t="s">
        <v>176</v>
      </c>
    </row>
    <row r="307" spans="1:1" x14ac:dyDescent="0.25">
      <c r="A307" s="1" t="s">
        <v>143</v>
      </c>
    </row>
    <row r="308" spans="1:1" x14ac:dyDescent="0.25">
      <c r="A308" s="1" t="s">
        <v>144</v>
      </c>
    </row>
    <row r="309" spans="1:1" x14ac:dyDescent="0.25">
      <c r="A309" s="1" t="s">
        <v>64</v>
      </c>
    </row>
    <row r="310" spans="1:1" x14ac:dyDescent="0.25">
      <c r="A310" s="1" t="s">
        <v>173</v>
      </c>
    </row>
    <row r="311" spans="1:1" x14ac:dyDescent="0.25">
      <c r="A311" s="1" t="s">
        <v>161</v>
      </c>
    </row>
    <row r="312" spans="1:1" x14ac:dyDescent="0.25">
      <c r="A312" s="1" t="s">
        <v>6</v>
      </c>
    </row>
    <row r="313" spans="1:1" x14ac:dyDescent="0.25">
      <c r="A313" s="1" t="s">
        <v>13</v>
      </c>
    </row>
    <row r="314" spans="1:1" x14ac:dyDescent="0.25">
      <c r="A314" s="1" t="s">
        <v>158</v>
      </c>
    </row>
    <row r="315" spans="1:1" x14ac:dyDescent="0.25">
      <c r="A315" s="1" t="s">
        <v>176</v>
      </c>
    </row>
    <row r="316" spans="1:1" x14ac:dyDescent="0.25">
      <c r="A316" s="1" t="s">
        <v>147</v>
      </c>
    </row>
    <row r="317" spans="1:1" x14ac:dyDescent="0.25">
      <c r="A317" s="1" t="s">
        <v>200</v>
      </c>
    </row>
    <row r="318" spans="1:1" x14ac:dyDescent="0.25">
      <c r="A318" s="1" t="s">
        <v>64</v>
      </c>
    </row>
    <row r="319" spans="1:1" x14ac:dyDescent="0.25">
      <c r="A319" s="1" t="s">
        <v>58</v>
      </c>
    </row>
    <row r="320" spans="1:1" x14ac:dyDescent="0.25">
      <c r="A320" s="1" t="s">
        <v>161</v>
      </c>
    </row>
    <row r="321" spans="1:1" x14ac:dyDescent="0.25">
      <c r="A321" s="1" t="s">
        <v>6</v>
      </c>
    </row>
    <row r="322" spans="1:1" x14ac:dyDescent="0.25">
      <c r="A322" s="1" t="s">
        <v>13</v>
      </c>
    </row>
    <row r="323" spans="1:1" x14ac:dyDescent="0.25">
      <c r="A323" s="1" t="s">
        <v>303</v>
      </c>
    </row>
    <row r="324" spans="1:1" x14ac:dyDescent="0.25">
      <c r="A324" s="1" t="s">
        <v>176</v>
      </c>
    </row>
    <row r="325" spans="1:1" x14ac:dyDescent="0.25">
      <c r="A325" s="1" t="s">
        <v>57</v>
      </c>
    </row>
    <row r="326" spans="1:1" x14ac:dyDescent="0.25">
      <c r="A326" s="1" t="s">
        <v>304</v>
      </c>
    </row>
    <row r="327" spans="1:1" x14ac:dyDescent="0.25">
      <c r="A327" s="1" t="s">
        <v>69</v>
      </c>
    </row>
    <row r="328" spans="1:1" x14ac:dyDescent="0.25">
      <c r="A328" s="1" t="s">
        <v>177</v>
      </c>
    </row>
    <row r="329" spans="1:1" x14ac:dyDescent="0.25">
      <c r="A329" s="1" t="s">
        <v>161</v>
      </c>
    </row>
    <row r="330" spans="1:1" x14ac:dyDescent="0.25">
      <c r="A330" s="1" t="s">
        <v>6</v>
      </c>
    </row>
    <row r="331" spans="1:1" x14ac:dyDescent="0.25">
      <c r="A331" s="1" t="s">
        <v>13</v>
      </c>
    </row>
    <row r="332" spans="1:1" x14ac:dyDescent="0.25">
      <c r="A332" s="1" t="s">
        <v>305</v>
      </c>
    </row>
    <row r="333" spans="1:1" x14ac:dyDescent="0.25">
      <c r="A333" s="1" t="s">
        <v>228</v>
      </c>
    </row>
    <row r="334" spans="1:1" x14ac:dyDescent="0.25">
      <c r="A334" s="1" t="s">
        <v>147</v>
      </c>
    </row>
    <row r="335" spans="1:1" x14ac:dyDescent="0.25">
      <c r="A335" s="1" t="s">
        <v>306</v>
      </c>
    </row>
    <row r="336" spans="1:1" x14ac:dyDescent="0.25">
      <c r="A336" s="1" t="s">
        <v>64</v>
      </c>
    </row>
    <row r="337" spans="1:1" x14ac:dyDescent="0.25">
      <c r="A337" s="1" t="s">
        <v>65</v>
      </c>
    </row>
    <row r="338" spans="1:1" x14ac:dyDescent="0.25">
      <c r="A338" s="1" t="s">
        <v>161</v>
      </c>
    </row>
    <row r="339" spans="1:1" x14ac:dyDescent="0.25">
      <c r="A339" s="1" t="s">
        <v>6</v>
      </c>
    </row>
    <row r="340" spans="1:1" x14ac:dyDescent="0.25">
      <c r="A340" s="1" t="s">
        <v>13</v>
      </c>
    </row>
    <row r="341" spans="1:1" x14ac:dyDescent="0.25">
      <c r="A341" s="1" t="s">
        <v>307</v>
      </c>
    </row>
    <row r="342" spans="1:1" x14ac:dyDescent="0.25">
      <c r="A342" s="1" t="s">
        <v>176</v>
      </c>
    </row>
    <row r="343" spans="1:1" x14ac:dyDescent="0.25">
      <c r="A343" s="1" t="s">
        <v>46</v>
      </c>
    </row>
    <row r="344" spans="1:1" x14ac:dyDescent="0.25">
      <c r="A344" s="1" t="s">
        <v>308</v>
      </c>
    </row>
    <row r="345" spans="1:1" x14ac:dyDescent="0.25">
      <c r="A345" s="1" t="s">
        <v>149</v>
      </c>
    </row>
    <row r="346" spans="1:1" x14ac:dyDescent="0.25">
      <c r="A346" s="1" t="s">
        <v>309</v>
      </c>
    </row>
    <row r="347" spans="1:1" x14ac:dyDescent="0.25">
      <c r="A347" s="1" t="s">
        <v>161</v>
      </c>
    </row>
    <row r="348" spans="1:1" x14ac:dyDescent="0.25">
      <c r="A348" s="1" t="s">
        <v>6</v>
      </c>
    </row>
    <row r="349" spans="1:1" x14ac:dyDescent="0.25">
      <c r="A349" s="1" t="s">
        <v>13</v>
      </c>
    </row>
    <row r="350" spans="1:1" x14ac:dyDescent="0.25">
      <c r="A350" s="1" t="s">
        <v>310</v>
      </c>
    </row>
    <row r="351" spans="1:1" x14ac:dyDescent="0.25">
      <c r="A351" s="1" t="s">
        <v>170</v>
      </c>
    </row>
    <row r="352" spans="1:1" x14ac:dyDescent="0.25">
      <c r="A352" s="1" t="s">
        <v>46</v>
      </c>
    </row>
    <row r="353" spans="1:1" x14ac:dyDescent="0.25">
      <c r="A353" s="1" t="s">
        <v>311</v>
      </c>
    </row>
    <row r="354" spans="1:1" x14ac:dyDescent="0.25">
      <c r="A354" s="1" t="s">
        <v>48</v>
      </c>
    </row>
    <row r="355" spans="1:1" x14ac:dyDescent="0.25">
      <c r="A355" s="1" t="s">
        <v>173</v>
      </c>
    </row>
    <row r="356" spans="1:1" x14ac:dyDescent="0.25">
      <c r="A356" s="1" t="s">
        <v>161</v>
      </c>
    </row>
    <row r="357" spans="1:1" x14ac:dyDescent="0.25">
      <c r="A357" s="1" t="s">
        <v>6</v>
      </c>
    </row>
    <row r="358" spans="1:1" x14ac:dyDescent="0.25">
      <c r="A358" s="1" t="s">
        <v>13</v>
      </c>
    </row>
    <row r="359" spans="1:1" x14ac:dyDescent="0.25">
      <c r="A359" s="1" t="s">
        <v>312</v>
      </c>
    </row>
    <row r="360" spans="1:1" x14ac:dyDescent="0.25">
      <c r="A360" s="1" t="s">
        <v>176</v>
      </c>
    </row>
    <row r="361" spans="1:1" x14ac:dyDescent="0.25">
      <c r="A361" s="1" t="s">
        <v>46</v>
      </c>
    </row>
    <row r="362" spans="1:1" x14ac:dyDescent="0.25">
      <c r="A362" s="1" t="s">
        <v>47</v>
      </c>
    </row>
    <row r="363" spans="1:1" x14ac:dyDescent="0.25">
      <c r="A363" s="1" t="s">
        <v>48</v>
      </c>
    </row>
    <row r="364" spans="1:1" x14ac:dyDescent="0.25">
      <c r="A364" s="1" t="s">
        <v>261</v>
      </c>
    </row>
    <row r="365" spans="1:1" x14ac:dyDescent="0.25">
      <c r="A365" s="1" t="s">
        <v>161</v>
      </c>
    </row>
    <row r="366" spans="1:1" x14ac:dyDescent="0.25">
      <c r="A366" s="1" t="s">
        <v>6</v>
      </c>
    </row>
    <row r="367" spans="1:1" x14ac:dyDescent="0.25">
      <c r="A367" s="1" t="s">
        <v>13</v>
      </c>
    </row>
    <row r="368" spans="1:1" x14ac:dyDescent="0.25">
      <c r="A368" s="1" t="s">
        <v>158</v>
      </c>
    </row>
    <row r="369" spans="1:1" x14ac:dyDescent="0.25">
      <c r="A369" s="1" t="s">
        <v>170</v>
      </c>
    </row>
    <row r="370" spans="1:1" x14ac:dyDescent="0.25">
      <c r="A370" s="1" t="s">
        <v>52</v>
      </c>
    </row>
    <row r="371" spans="1:1" x14ac:dyDescent="0.25">
      <c r="A371" s="1" t="s">
        <v>313</v>
      </c>
    </row>
    <row r="372" spans="1:1" x14ac:dyDescent="0.25">
      <c r="A372" s="1" t="s">
        <v>54</v>
      </c>
    </row>
    <row r="373" spans="1:1" x14ac:dyDescent="0.25">
      <c r="A373" s="1" t="s">
        <v>173</v>
      </c>
    </row>
    <row r="374" spans="1:1" x14ac:dyDescent="0.25">
      <c r="A374" s="1" t="s">
        <v>161</v>
      </c>
    </row>
    <row r="375" spans="1:1" x14ac:dyDescent="0.25">
      <c r="A375" s="1" t="s">
        <v>6</v>
      </c>
    </row>
    <row r="376" spans="1:1" x14ac:dyDescent="0.25">
      <c r="A376" s="1" t="s">
        <v>13</v>
      </c>
    </row>
    <row r="377" spans="1:1" x14ac:dyDescent="0.25">
      <c r="A377" s="1" t="s">
        <v>314</v>
      </c>
    </row>
    <row r="378" spans="1:1" x14ac:dyDescent="0.25">
      <c r="A378" s="1" t="s">
        <v>176</v>
      </c>
    </row>
    <row r="379" spans="1:1" x14ac:dyDescent="0.25">
      <c r="A379" s="1" t="s">
        <v>147</v>
      </c>
    </row>
    <row r="380" spans="1:1" x14ac:dyDescent="0.25">
      <c r="A380" s="1" t="s">
        <v>200</v>
      </c>
    </row>
    <row r="381" spans="1:1" x14ac:dyDescent="0.25">
      <c r="A381" s="1" t="s">
        <v>64</v>
      </c>
    </row>
    <row r="382" spans="1:1" x14ac:dyDescent="0.25">
      <c r="A382" s="1" t="s">
        <v>225</v>
      </c>
    </row>
    <row r="383" spans="1:1" x14ac:dyDescent="0.25">
      <c r="A383" s="1" t="s">
        <v>161</v>
      </c>
    </row>
    <row r="384" spans="1:1" x14ac:dyDescent="0.25">
      <c r="A384" s="1" t="s">
        <v>6</v>
      </c>
    </row>
    <row r="385" spans="1:1" x14ac:dyDescent="0.25">
      <c r="A385" s="1" t="s">
        <v>13</v>
      </c>
    </row>
    <row r="386" spans="1:1" x14ac:dyDescent="0.25">
      <c r="A386" s="1" t="s">
        <v>158</v>
      </c>
    </row>
    <row r="387" spans="1:1" x14ac:dyDescent="0.25">
      <c r="A387" s="1" t="s">
        <v>156</v>
      </c>
    </row>
    <row r="388" spans="1:1" x14ac:dyDescent="0.25">
      <c r="A388" s="1" t="s">
        <v>52</v>
      </c>
    </row>
    <row r="389" spans="1:1" x14ac:dyDescent="0.25">
      <c r="A389" s="1" t="s">
        <v>315</v>
      </c>
    </row>
    <row r="390" spans="1:1" x14ac:dyDescent="0.25">
      <c r="A390" s="1" t="s">
        <v>54</v>
      </c>
    </row>
    <row r="391" spans="1:1" x14ac:dyDescent="0.25">
      <c r="A391" s="1" t="s">
        <v>316</v>
      </c>
    </row>
    <row r="392" spans="1:1" x14ac:dyDescent="0.25">
      <c r="A392" s="1" t="s">
        <v>161</v>
      </c>
    </row>
    <row r="393" spans="1:1" x14ac:dyDescent="0.25">
      <c r="A393" s="1" t="s">
        <v>6</v>
      </c>
    </row>
    <row r="394" spans="1:1" x14ac:dyDescent="0.25">
      <c r="A394" s="1" t="s">
        <v>13</v>
      </c>
    </row>
    <row r="395" spans="1:1" x14ac:dyDescent="0.25">
      <c r="A395" s="1" t="s">
        <v>158</v>
      </c>
    </row>
    <row r="396" spans="1:1" x14ac:dyDescent="0.25">
      <c r="A396" s="1" t="s">
        <v>156</v>
      </c>
    </row>
    <row r="397" spans="1:1" x14ac:dyDescent="0.25">
      <c r="A397" s="1" t="s">
        <v>46</v>
      </c>
    </row>
    <row r="398" spans="1:1" x14ac:dyDescent="0.25">
      <c r="A398" s="1" t="s">
        <v>317</v>
      </c>
    </row>
    <row r="399" spans="1:1" x14ac:dyDescent="0.25">
      <c r="A399" s="1" t="s">
        <v>48</v>
      </c>
    </row>
    <row r="400" spans="1:1" x14ac:dyDescent="0.25">
      <c r="A400" s="1" t="s">
        <v>316</v>
      </c>
    </row>
    <row r="401" spans="1:1" x14ac:dyDescent="0.25">
      <c r="A401" s="1" t="s">
        <v>161</v>
      </c>
    </row>
    <row r="402" spans="1:1" x14ac:dyDescent="0.25">
      <c r="A402" s="1" t="s">
        <v>6</v>
      </c>
    </row>
    <row r="403" spans="1:1" x14ac:dyDescent="0.25">
      <c r="A403" s="1" t="s">
        <v>13</v>
      </c>
    </row>
    <row r="404" spans="1:1" x14ac:dyDescent="0.25">
      <c r="A404" s="1" t="s">
        <v>318</v>
      </c>
    </row>
    <row r="405" spans="1:1" x14ac:dyDescent="0.25">
      <c r="A405" s="1" t="s">
        <v>228</v>
      </c>
    </row>
    <row r="406" spans="1:1" x14ac:dyDescent="0.25">
      <c r="A406" s="1" t="s">
        <v>46</v>
      </c>
    </row>
    <row r="407" spans="1:1" x14ac:dyDescent="0.25">
      <c r="A407" s="1" t="s">
        <v>319</v>
      </c>
    </row>
    <row r="408" spans="1:1" x14ac:dyDescent="0.25">
      <c r="A408" s="1" t="s">
        <v>48</v>
      </c>
    </row>
    <row r="409" spans="1:1" x14ac:dyDescent="0.25">
      <c r="A409" s="1" t="s">
        <v>261</v>
      </c>
    </row>
    <row r="410" spans="1:1" x14ac:dyDescent="0.25">
      <c r="A410" s="1" t="s">
        <v>161</v>
      </c>
    </row>
    <row r="411" spans="1:1" x14ac:dyDescent="0.25">
      <c r="A411" s="1" t="s">
        <v>6</v>
      </c>
    </row>
    <row r="412" spans="1:1" x14ac:dyDescent="0.25">
      <c r="A412" s="1" t="s">
        <v>13</v>
      </c>
    </row>
    <row r="413" spans="1:1" x14ac:dyDescent="0.25">
      <c r="A413" s="1" t="s">
        <v>158</v>
      </c>
    </row>
    <row r="414" spans="1:1" x14ac:dyDescent="0.25">
      <c r="A414" s="1" t="s">
        <v>156</v>
      </c>
    </row>
    <row r="415" spans="1:1" x14ac:dyDescent="0.25">
      <c r="A415" s="1" t="s">
        <v>147</v>
      </c>
    </row>
    <row r="416" spans="1:1" x14ac:dyDescent="0.25">
      <c r="A416" s="1" t="s">
        <v>332</v>
      </c>
    </row>
    <row r="417" spans="1:1" x14ac:dyDescent="0.25">
      <c r="A417" s="1" t="s">
        <v>159</v>
      </c>
    </row>
    <row r="418" spans="1:1" x14ac:dyDescent="0.25">
      <c r="A418" s="1" t="s">
        <v>225</v>
      </c>
    </row>
    <row r="419" spans="1:1" x14ac:dyDescent="0.25">
      <c r="A419" s="1" t="s">
        <v>161</v>
      </c>
    </row>
    <row r="420" spans="1:1" x14ac:dyDescent="0.25">
      <c r="A420" s="1" t="s">
        <v>6</v>
      </c>
    </row>
    <row r="421" spans="1:1" x14ac:dyDescent="0.25">
      <c r="A421" s="1" t="s">
        <v>13</v>
      </c>
    </row>
    <row r="422" spans="1:1" x14ac:dyDescent="0.25">
      <c r="A422" s="1" t="s">
        <v>333</v>
      </c>
    </row>
    <row r="423" spans="1:1" x14ac:dyDescent="0.25">
      <c r="A423" s="1" t="s">
        <v>334</v>
      </c>
    </row>
    <row r="424" spans="1:1" x14ac:dyDescent="0.25">
      <c r="A424" s="1"/>
    </row>
    <row r="425" spans="1:1" x14ac:dyDescent="0.25">
      <c r="A425" s="1" t="s">
        <v>176</v>
      </c>
    </row>
    <row r="426" spans="1:1" x14ac:dyDescent="0.25">
      <c r="A426" s="1" t="s">
        <v>57</v>
      </c>
    </row>
    <row r="427" spans="1:1" x14ac:dyDescent="0.25">
      <c r="A427" s="1" t="s">
        <v>290</v>
      </c>
    </row>
    <row r="428" spans="1:1" x14ac:dyDescent="0.25">
      <c r="A428" s="1" t="s">
        <v>159</v>
      </c>
    </row>
    <row r="429" spans="1:1" x14ac:dyDescent="0.25">
      <c r="A429" s="1" t="s">
        <v>173</v>
      </c>
    </row>
    <row r="430" spans="1:1" x14ac:dyDescent="0.25">
      <c r="A430" s="1" t="s">
        <v>161</v>
      </c>
    </row>
    <row r="431" spans="1:1" x14ac:dyDescent="0.25">
      <c r="A431" s="1" t="s">
        <v>6</v>
      </c>
    </row>
    <row r="432" spans="1:1" x14ac:dyDescent="0.25">
      <c r="A432" s="1" t="s">
        <v>13</v>
      </c>
    </row>
    <row r="433" spans="1:1" x14ac:dyDescent="0.25">
      <c r="A433" s="1" t="s">
        <v>335</v>
      </c>
    </row>
    <row r="434" spans="1:1" x14ac:dyDescent="0.25">
      <c r="A434" s="1"/>
    </row>
    <row r="435" spans="1:1" x14ac:dyDescent="0.25">
      <c r="A435" s="1" t="s">
        <v>276</v>
      </c>
    </row>
    <row r="436" spans="1:1" x14ac:dyDescent="0.25">
      <c r="A436" s="1" t="s">
        <v>46</v>
      </c>
    </row>
    <row r="437" spans="1:1" x14ac:dyDescent="0.25">
      <c r="A437" s="1" t="s">
        <v>280</v>
      </c>
    </row>
    <row r="438" spans="1:1" x14ac:dyDescent="0.25">
      <c r="A438" s="1" t="s">
        <v>48</v>
      </c>
    </row>
    <row r="439" spans="1:1" x14ac:dyDescent="0.25">
      <c r="A439" s="1" t="s">
        <v>49</v>
      </c>
    </row>
    <row r="440" spans="1:1" x14ac:dyDescent="0.25">
      <c r="A440" s="1" t="s">
        <v>161</v>
      </c>
    </row>
    <row r="441" spans="1:1" x14ac:dyDescent="0.25">
      <c r="A441" s="1" t="s">
        <v>6</v>
      </c>
    </row>
    <row r="442" spans="1:1" x14ac:dyDescent="0.25">
      <c r="A442" s="1" t="s">
        <v>13</v>
      </c>
    </row>
    <row r="443" spans="1:1" x14ac:dyDescent="0.25">
      <c r="A443" s="1" t="s">
        <v>340</v>
      </c>
    </row>
    <row r="444" spans="1:1" x14ac:dyDescent="0.25">
      <c r="A444" s="1" t="s">
        <v>276</v>
      </c>
    </row>
    <row r="445" spans="1:1" x14ac:dyDescent="0.25">
      <c r="A445" s="1" t="s">
        <v>46</v>
      </c>
    </row>
    <row r="446" spans="1:1" x14ac:dyDescent="0.25">
      <c r="A446" s="1" t="s">
        <v>148</v>
      </c>
    </row>
    <row r="447" spans="1:1" x14ac:dyDescent="0.25">
      <c r="A447" s="1" t="s">
        <v>149</v>
      </c>
    </row>
    <row r="448" spans="1:1" x14ac:dyDescent="0.25">
      <c r="A448" s="1" t="s">
        <v>341</v>
      </c>
    </row>
    <row r="449" spans="1:1" x14ac:dyDescent="0.25">
      <c r="A449" s="1" t="s">
        <v>161</v>
      </c>
    </row>
    <row r="450" spans="1:1" x14ac:dyDescent="0.25">
      <c r="A450" s="1" t="s">
        <v>6</v>
      </c>
    </row>
    <row r="451" spans="1:1" x14ac:dyDescent="0.25">
      <c r="A451" s="1" t="s">
        <v>13</v>
      </c>
    </row>
    <row r="452" spans="1:1" x14ac:dyDescent="0.25">
      <c r="A452" s="1" t="s">
        <v>342</v>
      </c>
    </row>
    <row r="453" spans="1:1" x14ac:dyDescent="0.25">
      <c r="A453" s="1" t="s">
        <v>176</v>
      </c>
    </row>
    <row r="454" spans="1:1" x14ac:dyDescent="0.25">
      <c r="A454" s="1" t="s">
        <v>57</v>
      </c>
    </row>
    <row r="455" spans="1:1" x14ac:dyDescent="0.25">
      <c r="A455" s="1" t="s">
        <v>290</v>
      </c>
    </row>
    <row r="456" spans="1:1" x14ac:dyDescent="0.25">
      <c r="A456" s="1" t="s">
        <v>54</v>
      </c>
    </row>
    <row r="457" spans="1:1" x14ac:dyDescent="0.25">
      <c r="A457" s="1" t="s">
        <v>225</v>
      </c>
    </row>
    <row r="458" spans="1:1" x14ac:dyDescent="0.25">
      <c r="A458" s="1" t="s">
        <v>161</v>
      </c>
    </row>
    <row r="459" spans="1:1" x14ac:dyDescent="0.25">
      <c r="A459" s="1" t="s">
        <v>6</v>
      </c>
    </row>
    <row r="460" spans="1:1" x14ac:dyDescent="0.25">
      <c r="A460" s="1" t="s">
        <v>13</v>
      </c>
    </row>
    <row r="461" spans="1:1" x14ac:dyDescent="0.25">
      <c r="A461" s="1" t="s">
        <v>343</v>
      </c>
    </row>
    <row r="462" spans="1:1" x14ac:dyDescent="0.25">
      <c r="A462" s="1" t="s">
        <v>344</v>
      </c>
    </row>
    <row r="463" spans="1:1" x14ac:dyDescent="0.25">
      <c r="A463" s="1" t="s">
        <v>185</v>
      </c>
    </row>
    <row r="464" spans="1:1" x14ac:dyDescent="0.25">
      <c r="A464" s="1" t="s">
        <v>345</v>
      </c>
    </row>
    <row r="465" spans="1:1" x14ac:dyDescent="0.25">
      <c r="A465" s="1" t="s">
        <v>149</v>
      </c>
    </row>
    <row r="466" spans="1:1" x14ac:dyDescent="0.25">
      <c r="A466" s="1" t="s">
        <v>346</v>
      </c>
    </row>
    <row r="467" spans="1:1" x14ac:dyDescent="0.25">
      <c r="A467" s="1" t="s">
        <v>161</v>
      </c>
    </row>
    <row r="468" spans="1:1" x14ac:dyDescent="0.25">
      <c r="A468" s="1" t="s">
        <v>6</v>
      </c>
    </row>
    <row r="469" spans="1:1" x14ac:dyDescent="0.25">
      <c r="A469" s="1" t="s">
        <v>13</v>
      </c>
    </row>
    <row r="470" spans="1:1" x14ac:dyDescent="0.25">
      <c r="A470" s="1" t="s">
        <v>347</v>
      </c>
    </row>
    <row r="471" spans="1:1" x14ac:dyDescent="0.25">
      <c r="A471" s="1" t="s">
        <v>228</v>
      </c>
    </row>
    <row r="472" spans="1:1" x14ac:dyDescent="0.25">
      <c r="A472" s="1" t="s">
        <v>185</v>
      </c>
    </row>
    <row r="473" spans="1:1" x14ac:dyDescent="0.25">
      <c r="A473" s="1" t="s">
        <v>348</v>
      </c>
    </row>
    <row r="474" spans="1:1" x14ac:dyDescent="0.25">
      <c r="A474" s="1" t="s">
        <v>149</v>
      </c>
    </row>
    <row r="475" spans="1:1" x14ac:dyDescent="0.25">
      <c r="A475" s="1" t="s">
        <v>148</v>
      </c>
    </row>
    <row r="476" spans="1:1" x14ac:dyDescent="0.25">
      <c r="A476" s="1" t="s">
        <v>161</v>
      </c>
    </row>
    <row r="477" spans="1:1" x14ac:dyDescent="0.25">
      <c r="A477" s="1" t="s">
        <v>6</v>
      </c>
    </row>
    <row r="478" spans="1:1" x14ac:dyDescent="0.25">
      <c r="A478" s="1" t="s">
        <v>13</v>
      </c>
    </row>
    <row r="479" spans="1:1" x14ac:dyDescent="0.25">
      <c r="A479" s="1" t="s">
        <v>349</v>
      </c>
    </row>
    <row r="480" spans="1:1" x14ac:dyDescent="0.25">
      <c r="A480" s="1" t="s">
        <v>350</v>
      </c>
    </row>
    <row r="481" spans="1:1" x14ac:dyDescent="0.25">
      <c r="A481" s="1" t="s">
        <v>351</v>
      </c>
    </row>
    <row r="482" spans="1:1" x14ac:dyDescent="0.25">
      <c r="A482" s="1" t="s">
        <v>276</v>
      </c>
    </row>
    <row r="483" spans="1:1" x14ac:dyDescent="0.25">
      <c r="A483" s="1" t="s">
        <v>46</v>
      </c>
    </row>
    <row r="484" spans="1:1" x14ac:dyDescent="0.25">
      <c r="A484" s="1" t="s">
        <v>136</v>
      </c>
    </row>
    <row r="485" spans="1:1" x14ac:dyDescent="0.25">
      <c r="A485" s="1" t="s">
        <v>149</v>
      </c>
    </row>
    <row r="486" spans="1:1" x14ac:dyDescent="0.25">
      <c r="A486" s="1" t="s">
        <v>352</v>
      </c>
    </row>
    <row r="487" spans="1:1" x14ac:dyDescent="0.25">
      <c r="A487" s="1" t="s">
        <v>161</v>
      </c>
    </row>
    <row r="488" spans="1:1" x14ac:dyDescent="0.25">
      <c r="A488" s="1" t="s">
        <v>6</v>
      </c>
    </row>
    <row r="489" spans="1:1" x14ac:dyDescent="0.25">
      <c r="A489" s="1" t="s">
        <v>13</v>
      </c>
    </row>
    <row r="490" spans="1:1" x14ac:dyDescent="0.25">
      <c r="A490" s="1" t="s">
        <v>371</v>
      </c>
    </row>
    <row r="491" spans="1:1" x14ac:dyDescent="0.25">
      <c r="A491" s="1" t="s">
        <v>372</v>
      </c>
    </row>
    <row r="492" spans="1:1" x14ac:dyDescent="0.25">
      <c r="A492" s="1" t="s">
        <v>52</v>
      </c>
    </row>
    <row r="493" spans="1:1" x14ac:dyDescent="0.25">
      <c r="A493" s="1" t="s">
        <v>373</v>
      </c>
    </row>
    <row r="494" spans="1:1" x14ac:dyDescent="0.25">
      <c r="A494" s="1" t="s">
        <v>299</v>
      </c>
    </row>
    <row r="495" spans="1:1" x14ac:dyDescent="0.25">
      <c r="A495" s="1" t="s">
        <v>199</v>
      </c>
    </row>
    <row r="496" spans="1:1" x14ac:dyDescent="0.25">
      <c r="A496" s="1" t="s">
        <v>161</v>
      </c>
    </row>
    <row r="497" spans="1:1" x14ac:dyDescent="0.25">
      <c r="A497" s="1" t="s">
        <v>6</v>
      </c>
    </row>
    <row r="498" spans="1:1" x14ac:dyDescent="0.25">
      <c r="A498" s="1" t="s">
        <v>13</v>
      </c>
    </row>
    <row r="499" spans="1:1" x14ac:dyDescent="0.25">
      <c r="A499" s="1" t="s">
        <v>371</v>
      </c>
    </row>
    <row r="500" spans="1:1" x14ac:dyDescent="0.25">
      <c r="A500" s="1" t="s">
        <v>372</v>
      </c>
    </row>
    <row r="501" spans="1:1" x14ac:dyDescent="0.25">
      <c r="A501" s="1" t="s">
        <v>147</v>
      </c>
    </row>
    <row r="502" spans="1:1" x14ac:dyDescent="0.25">
      <c r="A502" s="1" t="s">
        <v>374</v>
      </c>
    </row>
    <row r="503" spans="1:1" x14ac:dyDescent="0.25">
      <c r="A503" s="1" t="s">
        <v>64</v>
      </c>
    </row>
    <row r="504" spans="1:1" x14ac:dyDescent="0.25">
      <c r="A504" s="1" t="s">
        <v>375</v>
      </c>
    </row>
    <row r="505" spans="1:1" x14ac:dyDescent="0.25">
      <c r="A505" s="1" t="s">
        <v>161</v>
      </c>
    </row>
    <row r="506" spans="1:1" x14ac:dyDescent="0.25">
      <c r="A506" s="1" t="s">
        <v>6</v>
      </c>
    </row>
    <row r="507" spans="1:1" x14ac:dyDescent="0.25">
      <c r="A507" s="1" t="s">
        <v>13</v>
      </c>
    </row>
    <row r="508" spans="1:1" x14ac:dyDescent="0.25">
      <c r="A508" s="1" t="s">
        <v>383</v>
      </c>
    </row>
    <row r="509" spans="1:1" x14ac:dyDescent="0.25">
      <c r="A509" s="1" t="s">
        <v>176</v>
      </c>
    </row>
    <row r="510" spans="1:1" x14ac:dyDescent="0.25">
      <c r="A510" s="1" t="s">
        <v>185</v>
      </c>
    </row>
    <row r="511" spans="1:1" x14ac:dyDescent="0.25">
      <c r="A511" s="1" t="s">
        <v>158</v>
      </c>
    </row>
    <row r="512" spans="1:1" x14ac:dyDescent="0.25">
      <c r="A512" s="1" t="s">
        <v>224</v>
      </c>
    </row>
    <row r="513" spans="1:1" x14ac:dyDescent="0.25">
      <c r="A513" s="1" t="s">
        <v>158</v>
      </c>
    </row>
    <row r="514" spans="1:1" x14ac:dyDescent="0.25">
      <c r="A514" s="1" t="s">
        <v>161</v>
      </c>
    </row>
    <row r="515" spans="1:1" x14ac:dyDescent="0.25">
      <c r="A515" s="1" t="s">
        <v>6</v>
      </c>
    </row>
    <row r="516" spans="1:1" x14ac:dyDescent="0.25">
      <c r="A516" s="1" t="s">
        <v>13</v>
      </c>
    </row>
    <row r="517" spans="1:1" x14ac:dyDescent="0.25">
      <c r="A517" s="1" t="s">
        <v>383</v>
      </c>
    </row>
    <row r="518" spans="1:1" x14ac:dyDescent="0.25">
      <c r="A518" s="1" t="s">
        <v>176</v>
      </c>
    </row>
    <row r="519" spans="1:1" x14ac:dyDescent="0.25">
      <c r="A519" s="1" t="s">
        <v>185</v>
      </c>
    </row>
    <row r="520" spans="1:1" x14ac:dyDescent="0.25">
      <c r="A520" s="1" t="s">
        <v>158</v>
      </c>
    </row>
    <row r="521" spans="1:1" x14ac:dyDescent="0.25">
      <c r="A521" s="1" t="s">
        <v>224</v>
      </c>
    </row>
    <row r="522" spans="1:1" x14ac:dyDescent="0.25">
      <c r="A522" s="1" t="s">
        <v>158</v>
      </c>
    </row>
    <row r="523" spans="1:1" x14ac:dyDescent="0.25">
      <c r="A523" s="1" t="s">
        <v>161</v>
      </c>
    </row>
    <row r="524" spans="1:1" x14ac:dyDescent="0.25">
      <c r="A524" s="1" t="s">
        <v>6</v>
      </c>
    </row>
    <row r="525" spans="1:1" x14ac:dyDescent="0.25">
      <c r="A525" s="1" t="s">
        <v>13</v>
      </c>
    </row>
    <row r="526" spans="1:1" x14ac:dyDescent="0.25">
      <c r="A526" s="1" t="s">
        <v>412</v>
      </c>
    </row>
    <row r="527" spans="1:1" x14ac:dyDescent="0.25">
      <c r="A527" s="1" t="s">
        <v>413</v>
      </c>
    </row>
    <row r="528" spans="1:1" x14ac:dyDescent="0.25">
      <c r="A528" s="1" t="s">
        <v>170</v>
      </c>
    </row>
    <row r="529" spans="1:1" x14ac:dyDescent="0.25">
      <c r="A529" s="1" t="s">
        <v>46</v>
      </c>
    </row>
    <row r="530" spans="1:1" x14ac:dyDescent="0.25">
      <c r="A530" s="1" t="s">
        <v>311</v>
      </c>
    </row>
    <row r="531" spans="1:1" x14ac:dyDescent="0.25">
      <c r="A531" s="1" t="s">
        <v>48</v>
      </c>
    </row>
    <row r="532" spans="1:1" x14ac:dyDescent="0.25">
      <c r="A532" s="1" t="s">
        <v>236</v>
      </c>
    </row>
    <row r="533" spans="1:1" x14ac:dyDescent="0.25">
      <c r="A533" s="1" t="s">
        <v>161</v>
      </c>
    </row>
    <row r="534" spans="1:1" x14ac:dyDescent="0.25">
      <c r="A534" s="1" t="s">
        <v>6</v>
      </c>
    </row>
    <row r="535" spans="1:1" x14ac:dyDescent="0.25">
      <c r="A535" s="1" t="s">
        <v>13</v>
      </c>
    </row>
    <row r="536" spans="1:1" x14ac:dyDescent="0.25">
      <c r="A536" s="1" t="s">
        <v>414</v>
      </c>
    </row>
    <row r="537" spans="1:1" x14ac:dyDescent="0.25">
      <c r="A537" s="1" t="s">
        <v>415</v>
      </c>
    </row>
    <row r="538" spans="1:1" x14ac:dyDescent="0.25">
      <c r="A538" s="1" t="s">
        <v>210</v>
      </c>
    </row>
    <row r="539" spans="1:1" x14ac:dyDescent="0.25">
      <c r="A539" s="1" t="s">
        <v>416</v>
      </c>
    </row>
    <row r="540" spans="1:1" x14ac:dyDescent="0.25">
      <c r="A540" s="1" t="s">
        <v>149</v>
      </c>
    </row>
    <row r="541" spans="1:1" x14ac:dyDescent="0.25">
      <c r="A541" s="1" t="s">
        <v>417</v>
      </c>
    </row>
    <row r="542" spans="1:1" x14ac:dyDescent="0.25">
      <c r="A542" s="1" t="s">
        <v>161</v>
      </c>
    </row>
    <row r="543" spans="1:1" x14ac:dyDescent="0.25">
      <c r="A543" s="1" t="s">
        <v>6</v>
      </c>
    </row>
    <row r="544" spans="1:1" x14ac:dyDescent="0.25">
      <c r="A544" s="1" t="s">
        <v>13</v>
      </c>
    </row>
    <row r="545" spans="1:1" x14ac:dyDescent="0.25">
      <c r="A545" s="1" t="s">
        <v>418</v>
      </c>
    </row>
    <row r="546" spans="1:1" x14ac:dyDescent="0.25">
      <c r="A546" s="1" t="s">
        <v>241</v>
      </c>
    </row>
    <row r="547" spans="1:1" x14ac:dyDescent="0.25">
      <c r="A547" s="1" t="s">
        <v>46</v>
      </c>
    </row>
    <row r="548" spans="1:1" x14ac:dyDescent="0.25">
      <c r="A548" s="1" t="s">
        <v>419</v>
      </c>
    </row>
    <row r="549" spans="1:1" x14ac:dyDescent="0.25">
      <c r="A549" s="1" t="s">
        <v>48</v>
      </c>
    </row>
    <row r="550" spans="1:1" x14ac:dyDescent="0.25">
      <c r="A550" s="1" t="s">
        <v>295</v>
      </c>
    </row>
    <row r="551" spans="1:1" x14ac:dyDescent="0.25">
      <c r="A551" s="1" t="s">
        <v>161</v>
      </c>
    </row>
    <row r="552" spans="1:1" x14ac:dyDescent="0.25">
      <c r="A552" s="1" t="s">
        <v>6</v>
      </c>
    </row>
    <row r="553" spans="1:1" x14ac:dyDescent="0.25">
      <c r="A553" s="1" t="s">
        <v>13</v>
      </c>
    </row>
    <row r="554" spans="1:1" x14ac:dyDescent="0.25">
      <c r="A554" s="1" t="s">
        <v>420</v>
      </c>
    </row>
    <row r="555" spans="1:1" x14ac:dyDescent="0.25">
      <c r="A555" s="1" t="s">
        <v>241</v>
      </c>
    </row>
    <row r="556" spans="1:1" x14ac:dyDescent="0.25">
      <c r="A556" s="1" t="s">
        <v>46</v>
      </c>
    </row>
    <row r="557" spans="1:1" x14ac:dyDescent="0.25">
      <c r="A557" s="1" t="s">
        <v>421</v>
      </c>
    </row>
    <row r="558" spans="1:1" x14ac:dyDescent="0.25">
      <c r="A558" s="1" t="s">
        <v>48</v>
      </c>
    </row>
    <row r="559" spans="1:1" x14ac:dyDescent="0.25">
      <c r="A559" s="1" t="s">
        <v>295</v>
      </c>
    </row>
    <row r="560" spans="1:1" x14ac:dyDescent="0.25">
      <c r="A560" s="1" t="s">
        <v>161</v>
      </c>
    </row>
    <row r="561" spans="1:1" x14ac:dyDescent="0.25">
      <c r="A561" s="1" t="s">
        <v>6</v>
      </c>
    </row>
    <row r="562" spans="1:1" x14ac:dyDescent="0.25">
      <c r="A562" s="1" t="s">
        <v>13</v>
      </c>
    </row>
    <row r="563" spans="1:1" x14ac:dyDescent="0.25">
      <c r="A563" s="1" t="s">
        <v>435</v>
      </c>
    </row>
    <row r="564" spans="1:1" x14ac:dyDescent="0.25">
      <c r="A564" s="1" t="s">
        <v>276</v>
      </c>
    </row>
    <row r="565" spans="1:1" x14ac:dyDescent="0.25">
      <c r="A565" s="1" t="s">
        <v>52</v>
      </c>
    </row>
    <row r="566" spans="1:1" x14ac:dyDescent="0.25">
      <c r="A566" s="1" t="s">
        <v>436</v>
      </c>
    </row>
    <row r="567" spans="1:1" x14ac:dyDescent="0.25">
      <c r="A567" s="1" t="s">
        <v>54</v>
      </c>
    </row>
    <row r="568" spans="1:1" x14ac:dyDescent="0.25">
      <c r="A568" s="1" t="s">
        <v>173</v>
      </c>
    </row>
    <row r="569" spans="1:1" x14ac:dyDescent="0.25">
      <c r="A569" s="1" t="s">
        <v>161</v>
      </c>
    </row>
    <row r="570" spans="1:1" x14ac:dyDescent="0.25">
      <c r="A570" s="1" t="s">
        <v>6</v>
      </c>
    </row>
    <row r="571" spans="1:1" x14ac:dyDescent="0.25">
      <c r="A571" s="1" t="s">
        <v>13</v>
      </c>
    </row>
    <row r="572" spans="1:1" x14ac:dyDescent="0.25">
      <c r="A572" s="1" t="s">
        <v>437</v>
      </c>
    </row>
    <row r="573" spans="1:1" x14ac:dyDescent="0.25">
      <c r="A573" s="1" t="s">
        <v>276</v>
      </c>
    </row>
    <row r="574" spans="1:1" x14ac:dyDescent="0.25">
      <c r="A574" s="1" t="s">
        <v>52</v>
      </c>
    </row>
    <row r="575" spans="1:1" x14ac:dyDescent="0.25">
      <c r="A575" s="1" t="s">
        <v>277</v>
      </c>
    </row>
    <row r="576" spans="1:1" x14ac:dyDescent="0.25">
      <c r="A576" s="1" t="s">
        <v>54</v>
      </c>
    </row>
    <row r="577" spans="1:1" x14ac:dyDescent="0.25">
      <c r="A577" s="1" t="s">
        <v>58</v>
      </c>
    </row>
    <row r="578" spans="1:1" x14ac:dyDescent="0.25">
      <c r="A578" s="1" t="s">
        <v>161</v>
      </c>
    </row>
    <row r="579" spans="1:1" x14ac:dyDescent="0.25">
      <c r="A579" s="1" t="s">
        <v>6</v>
      </c>
    </row>
    <row r="580" spans="1:1" x14ac:dyDescent="0.25">
      <c r="A580" s="1" t="s">
        <v>13</v>
      </c>
    </row>
    <row r="581" spans="1:1" x14ac:dyDescent="0.25">
      <c r="A581" s="1" t="s">
        <v>438</v>
      </c>
    </row>
    <row r="582" spans="1:1" x14ac:dyDescent="0.25">
      <c r="A582" s="1" t="s">
        <v>203</v>
      </c>
    </row>
    <row r="583" spans="1:1" x14ac:dyDescent="0.25">
      <c r="A583" s="1" t="s">
        <v>147</v>
      </c>
    </row>
    <row r="584" spans="1:1" x14ac:dyDescent="0.25">
      <c r="A584" s="1" t="s">
        <v>439</v>
      </c>
    </row>
    <row r="585" spans="1:1" x14ac:dyDescent="0.25">
      <c r="A585" s="1" t="s">
        <v>64</v>
      </c>
    </row>
    <row r="586" spans="1:1" x14ac:dyDescent="0.25">
      <c r="A586" s="1" t="s">
        <v>297</v>
      </c>
    </row>
    <row r="587" spans="1:1" x14ac:dyDescent="0.25">
      <c r="A587" s="1" t="s">
        <v>161</v>
      </c>
    </row>
    <row r="588" spans="1:1" x14ac:dyDescent="0.25">
      <c r="A588" s="1" t="s">
        <v>6</v>
      </c>
    </row>
    <row r="589" spans="1:1" x14ac:dyDescent="0.25">
      <c r="A589" s="1" t="s">
        <v>13</v>
      </c>
    </row>
    <row r="590" spans="1:1" x14ac:dyDescent="0.25">
      <c r="A590" s="1" t="s">
        <v>440</v>
      </c>
    </row>
    <row r="591" spans="1:1" x14ac:dyDescent="0.25">
      <c r="A591" s="1" t="s">
        <v>168</v>
      </c>
    </row>
    <row r="592" spans="1:1" x14ac:dyDescent="0.25">
      <c r="A592" s="1" t="s">
        <v>185</v>
      </c>
    </row>
    <row r="593" spans="1:1" x14ac:dyDescent="0.25">
      <c r="A593" s="1" t="s">
        <v>441</v>
      </c>
    </row>
    <row r="594" spans="1:1" x14ac:dyDescent="0.25">
      <c r="A594" s="1" t="s">
        <v>149</v>
      </c>
    </row>
    <row r="595" spans="1:1" x14ac:dyDescent="0.25">
      <c r="A595" s="1" t="s">
        <v>442</v>
      </c>
    </row>
    <row r="596" spans="1:1" x14ac:dyDescent="0.25">
      <c r="A596" s="1" t="s">
        <v>161</v>
      </c>
    </row>
    <row r="597" spans="1:1" x14ac:dyDescent="0.25">
      <c r="A597" s="1" t="s">
        <v>6</v>
      </c>
    </row>
    <row r="598" spans="1:1" x14ac:dyDescent="0.25">
      <c r="A598" s="1" t="s">
        <v>13</v>
      </c>
    </row>
    <row r="599" spans="1:1" x14ac:dyDescent="0.25">
      <c r="A599" s="1" t="s">
        <v>158</v>
      </c>
    </row>
    <row r="600" spans="1:1" x14ac:dyDescent="0.25">
      <c r="A600" s="1" t="s">
        <v>226</v>
      </c>
    </row>
    <row r="601" spans="1:1" x14ac:dyDescent="0.25">
      <c r="A601" s="1" t="s">
        <v>46</v>
      </c>
    </row>
    <row r="602" spans="1:1" x14ac:dyDescent="0.25">
      <c r="A602" s="1" t="s">
        <v>158</v>
      </c>
    </row>
    <row r="603" spans="1:1" x14ac:dyDescent="0.25">
      <c r="A603" s="1" t="s">
        <v>149</v>
      </c>
    </row>
    <row r="604" spans="1:1" x14ac:dyDescent="0.25">
      <c r="A604" s="1" t="s">
        <v>443</v>
      </c>
    </row>
    <row r="605" spans="1:1" x14ac:dyDescent="0.25">
      <c r="A605" s="1" t="s">
        <v>161</v>
      </c>
    </row>
    <row r="606" spans="1:1" x14ac:dyDescent="0.25">
      <c r="A606" s="1" t="s">
        <v>6</v>
      </c>
    </row>
    <row r="607" spans="1:1" x14ac:dyDescent="0.25">
      <c r="A607" s="1" t="s">
        <v>13</v>
      </c>
    </row>
    <row r="608" spans="1:1" x14ac:dyDescent="0.25">
      <c r="A608" s="1" t="s">
        <v>444</v>
      </c>
    </row>
    <row r="609" spans="1:1" x14ac:dyDescent="0.25">
      <c r="A609" s="1" t="s">
        <v>445</v>
      </c>
    </row>
    <row r="610" spans="1:1" x14ac:dyDescent="0.25">
      <c r="A610" s="1" t="s">
        <v>193</v>
      </c>
    </row>
    <row r="611" spans="1:1" x14ac:dyDescent="0.25">
      <c r="A611" s="1" t="s">
        <v>185</v>
      </c>
    </row>
    <row r="612" spans="1:1" x14ac:dyDescent="0.25">
      <c r="A612" s="1" t="s">
        <v>223</v>
      </c>
    </row>
    <row r="613" spans="1:1" x14ac:dyDescent="0.25">
      <c r="A613" s="1" t="s">
        <v>224</v>
      </c>
    </row>
    <row r="614" spans="1:1" x14ac:dyDescent="0.25">
      <c r="A614" s="1" t="s">
        <v>329</v>
      </c>
    </row>
    <row r="615" spans="1:1" x14ac:dyDescent="0.25">
      <c r="A615" s="1" t="s">
        <v>161</v>
      </c>
    </row>
    <row r="616" spans="1:1" x14ac:dyDescent="0.25">
      <c r="A616" s="1" t="s">
        <v>6</v>
      </c>
    </row>
    <row r="617" spans="1:1" x14ac:dyDescent="0.25">
      <c r="A617" s="1" t="s">
        <v>13</v>
      </c>
    </row>
    <row r="618" spans="1:1" x14ac:dyDescent="0.25">
      <c r="A618" s="1" t="s">
        <v>453</v>
      </c>
    </row>
    <row r="619" spans="1:1" x14ac:dyDescent="0.25">
      <c r="A619" s="1" t="s">
        <v>454</v>
      </c>
    </row>
    <row r="620" spans="1:1" x14ac:dyDescent="0.25">
      <c r="A620" s="1" t="s">
        <v>46</v>
      </c>
    </row>
    <row r="621" spans="1:1" x14ac:dyDescent="0.25">
      <c r="A621" s="1" t="s">
        <v>455</v>
      </c>
    </row>
    <row r="622" spans="1:1" x14ac:dyDescent="0.25">
      <c r="A622" s="1" t="s">
        <v>48</v>
      </c>
    </row>
    <row r="623" spans="1:1" x14ac:dyDescent="0.25">
      <c r="A623" s="1" t="s">
        <v>278</v>
      </c>
    </row>
    <row r="624" spans="1:1" x14ac:dyDescent="0.25">
      <c r="A624" s="1" t="s">
        <v>161</v>
      </c>
    </row>
    <row r="625" spans="1:1" x14ac:dyDescent="0.25">
      <c r="A625" s="1" t="s">
        <v>6</v>
      </c>
    </row>
    <row r="626" spans="1:1" x14ac:dyDescent="0.25">
      <c r="A626" s="1" t="s">
        <v>13</v>
      </c>
    </row>
    <row r="627" spans="1:1" x14ac:dyDescent="0.25">
      <c r="A627" s="1" t="s">
        <v>462</v>
      </c>
    </row>
    <row r="628" spans="1:1" x14ac:dyDescent="0.25">
      <c r="A628" s="1" t="s">
        <v>170</v>
      </c>
    </row>
    <row r="629" spans="1:1" x14ac:dyDescent="0.25">
      <c r="A629" s="1" t="s">
        <v>204</v>
      </c>
    </row>
    <row r="630" spans="1:1" x14ac:dyDescent="0.25">
      <c r="A630" s="1" t="s">
        <v>463</v>
      </c>
    </row>
    <row r="631" spans="1:1" x14ac:dyDescent="0.25">
      <c r="A631" s="1" t="s">
        <v>64</v>
      </c>
    </row>
    <row r="632" spans="1:1" x14ac:dyDescent="0.25">
      <c r="A632" s="1" t="s">
        <v>221</v>
      </c>
    </row>
    <row r="633" spans="1:1" x14ac:dyDescent="0.25">
      <c r="A633" s="1" t="s">
        <v>161</v>
      </c>
    </row>
    <row r="634" spans="1:1" x14ac:dyDescent="0.25">
      <c r="A634" s="1" t="s">
        <v>6</v>
      </c>
    </row>
    <row r="635" spans="1:1" x14ac:dyDescent="0.25">
      <c r="A635" s="1" t="s">
        <v>13</v>
      </c>
    </row>
    <row r="636" spans="1:1" x14ac:dyDescent="0.25">
      <c r="A636" s="1" t="s">
        <v>464</v>
      </c>
    </row>
    <row r="637" spans="1:1" x14ac:dyDescent="0.25">
      <c r="A637" s="1" t="s">
        <v>276</v>
      </c>
    </row>
    <row r="638" spans="1:1" x14ac:dyDescent="0.25">
      <c r="A638" s="1" t="s">
        <v>46</v>
      </c>
    </row>
    <row r="639" spans="1:1" x14ac:dyDescent="0.25">
      <c r="A639" s="1" t="s">
        <v>465</v>
      </c>
    </row>
    <row r="640" spans="1:1" x14ac:dyDescent="0.25">
      <c r="A640" s="1" t="s">
        <v>149</v>
      </c>
    </row>
    <row r="641" spans="1:1" x14ac:dyDescent="0.25">
      <c r="A641" s="1" t="s">
        <v>466</v>
      </c>
    </row>
    <row r="642" spans="1:1" x14ac:dyDescent="0.25">
      <c r="A642" s="1" t="s">
        <v>161</v>
      </c>
    </row>
    <row r="643" spans="1:1" x14ac:dyDescent="0.25">
      <c r="A643" s="1" t="s">
        <v>6</v>
      </c>
    </row>
    <row r="644" spans="1:1" x14ac:dyDescent="0.25">
      <c r="A644" s="1" t="s">
        <v>13</v>
      </c>
    </row>
    <row r="645" spans="1:1" x14ac:dyDescent="0.25">
      <c r="A645" s="1" t="s">
        <v>278</v>
      </c>
    </row>
    <row r="646" spans="1:1" x14ac:dyDescent="0.25">
      <c r="A646" s="1" t="s">
        <v>415</v>
      </c>
    </row>
    <row r="647" spans="1:1" x14ac:dyDescent="0.25">
      <c r="A647" s="1" t="s">
        <v>46</v>
      </c>
    </row>
    <row r="648" spans="1:1" x14ac:dyDescent="0.25">
      <c r="A648" s="1" t="s">
        <v>467</v>
      </c>
    </row>
    <row r="649" spans="1:1" x14ac:dyDescent="0.25">
      <c r="A649" s="1" t="s">
        <v>48</v>
      </c>
    </row>
    <row r="650" spans="1:1" x14ac:dyDescent="0.25">
      <c r="A650" s="1" t="s">
        <v>278</v>
      </c>
    </row>
    <row r="651" spans="1:1" x14ac:dyDescent="0.25">
      <c r="A651" s="1" t="s">
        <v>161</v>
      </c>
    </row>
    <row r="652" spans="1:1" x14ac:dyDescent="0.25">
      <c r="A652" s="1" t="s">
        <v>6</v>
      </c>
    </row>
    <row r="653" spans="1:1" x14ac:dyDescent="0.25">
      <c r="A653" s="1" t="s">
        <v>13</v>
      </c>
    </row>
    <row r="654" spans="1:1" x14ac:dyDescent="0.25">
      <c r="A654" s="1" t="s">
        <v>278</v>
      </c>
    </row>
    <row r="655" spans="1:1" x14ac:dyDescent="0.25">
      <c r="A655" s="1" t="s">
        <v>344</v>
      </c>
    </row>
    <row r="656" spans="1:1" x14ac:dyDescent="0.25">
      <c r="A656" s="1" t="s">
        <v>46</v>
      </c>
    </row>
    <row r="657" spans="1:1" x14ac:dyDescent="0.25">
      <c r="A657" s="1" t="s">
        <v>468</v>
      </c>
    </row>
    <row r="658" spans="1:1" x14ac:dyDescent="0.25">
      <c r="A658" s="1" t="s">
        <v>48</v>
      </c>
    </row>
    <row r="659" spans="1:1" x14ac:dyDescent="0.25">
      <c r="A659" s="1" t="s">
        <v>278</v>
      </c>
    </row>
    <row r="660" spans="1:1" x14ac:dyDescent="0.25">
      <c r="A660" s="1" t="s">
        <v>161</v>
      </c>
    </row>
    <row r="661" spans="1:1" x14ac:dyDescent="0.25">
      <c r="A661" s="1" t="s">
        <v>6</v>
      </c>
    </row>
    <row r="662" spans="1:1" x14ac:dyDescent="0.25">
      <c r="A662" s="1" t="s">
        <v>13</v>
      </c>
    </row>
    <row r="663" spans="1:1" x14ac:dyDescent="0.25">
      <c r="A663" s="1" t="s">
        <v>469</v>
      </c>
    </row>
    <row r="664" spans="1:1" x14ac:dyDescent="0.25">
      <c r="A664" s="1" t="s">
        <v>156</v>
      </c>
    </row>
    <row r="665" spans="1:1" x14ac:dyDescent="0.25">
      <c r="A665" s="1" t="s">
        <v>185</v>
      </c>
    </row>
    <row r="666" spans="1:1" x14ac:dyDescent="0.25">
      <c r="A666" s="1" t="s">
        <v>470</v>
      </c>
    </row>
    <row r="667" spans="1:1" x14ac:dyDescent="0.25">
      <c r="A667" s="1" t="s">
        <v>149</v>
      </c>
    </row>
    <row r="668" spans="1:1" x14ac:dyDescent="0.25">
      <c r="A668" s="1" t="s">
        <v>58</v>
      </c>
    </row>
    <row r="669" spans="1:1" x14ac:dyDescent="0.25">
      <c r="A669" s="1" t="s">
        <v>161</v>
      </c>
    </row>
    <row r="670" spans="1:1" x14ac:dyDescent="0.25">
      <c r="A670" s="1" t="s">
        <v>6</v>
      </c>
    </row>
    <row r="671" spans="1:1" x14ac:dyDescent="0.25">
      <c r="A671" s="1" t="s">
        <v>13</v>
      </c>
    </row>
    <row r="672" spans="1:1" x14ac:dyDescent="0.25">
      <c r="A672" s="1" t="s">
        <v>471</v>
      </c>
    </row>
    <row r="673" spans="1:1" x14ac:dyDescent="0.25">
      <c r="A673" s="1" t="s">
        <v>276</v>
      </c>
    </row>
    <row r="674" spans="1:1" x14ac:dyDescent="0.25">
      <c r="A674" s="1" t="s">
        <v>143</v>
      </c>
    </row>
    <row r="675" spans="1:1" x14ac:dyDescent="0.25">
      <c r="A675" s="1" t="s">
        <v>472</v>
      </c>
    </row>
    <row r="676" spans="1:1" x14ac:dyDescent="0.25">
      <c r="A676" s="1" t="s">
        <v>159</v>
      </c>
    </row>
    <row r="677" spans="1:1" x14ac:dyDescent="0.25">
      <c r="A677" s="1" t="s">
        <v>148</v>
      </c>
    </row>
    <row r="678" spans="1:1" x14ac:dyDescent="0.25">
      <c r="A678" s="1" t="s">
        <v>161</v>
      </c>
    </row>
    <row r="679" spans="1:1" x14ac:dyDescent="0.25">
      <c r="A679" s="1" t="s">
        <v>6</v>
      </c>
    </row>
    <row r="680" spans="1:1" x14ac:dyDescent="0.25">
      <c r="A680" s="1" t="s">
        <v>13</v>
      </c>
    </row>
    <row r="681" spans="1:1" x14ac:dyDescent="0.25">
      <c r="A681" s="1" t="s">
        <v>473</v>
      </c>
    </row>
    <row r="682" spans="1:1" x14ac:dyDescent="0.25">
      <c r="A682" s="1" t="s">
        <v>276</v>
      </c>
    </row>
    <row r="683" spans="1:1" x14ac:dyDescent="0.25">
      <c r="A683" s="1" t="s">
        <v>143</v>
      </c>
    </row>
    <row r="684" spans="1:1" x14ac:dyDescent="0.25">
      <c r="A684" s="1" t="s">
        <v>474</v>
      </c>
    </row>
    <row r="685" spans="1:1" x14ac:dyDescent="0.25">
      <c r="A685" s="1" t="s">
        <v>64</v>
      </c>
    </row>
    <row r="686" spans="1:1" x14ac:dyDescent="0.25">
      <c r="A686" s="1" t="s">
        <v>420</v>
      </c>
    </row>
    <row r="687" spans="1:1" x14ac:dyDescent="0.25">
      <c r="A687" s="1" t="s">
        <v>161</v>
      </c>
    </row>
    <row r="688" spans="1:1" x14ac:dyDescent="0.25">
      <c r="A688" s="1" t="s">
        <v>6</v>
      </c>
    </row>
    <row r="689" spans="1:1" x14ac:dyDescent="0.25">
      <c r="A689" s="1" t="s">
        <v>13</v>
      </c>
    </row>
    <row r="690" spans="1:1" x14ac:dyDescent="0.25">
      <c r="A690" s="1" t="s">
        <v>484</v>
      </c>
    </row>
    <row r="691" spans="1:1" x14ac:dyDescent="0.25">
      <c r="A691" s="1" t="s">
        <v>276</v>
      </c>
    </row>
    <row r="692" spans="1:1" x14ac:dyDescent="0.25">
      <c r="A692" s="1" t="s">
        <v>57</v>
      </c>
    </row>
    <row r="693" spans="1:1" x14ac:dyDescent="0.25">
      <c r="A693" s="1" t="s">
        <v>485</v>
      </c>
    </row>
    <row r="694" spans="1:1" x14ac:dyDescent="0.25">
      <c r="A694" s="1" t="s">
        <v>159</v>
      </c>
    </row>
    <row r="695" spans="1:1" x14ac:dyDescent="0.25">
      <c r="A695" s="1" t="s">
        <v>148</v>
      </c>
    </row>
    <row r="696" spans="1:1" x14ac:dyDescent="0.25">
      <c r="A696" s="1" t="s">
        <v>161</v>
      </c>
    </row>
    <row r="697" spans="1:1" x14ac:dyDescent="0.25">
      <c r="A697" s="1" t="s">
        <v>6</v>
      </c>
    </row>
    <row r="698" spans="1:1" x14ac:dyDescent="0.25">
      <c r="A698" s="1" t="s">
        <v>13</v>
      </c>
    </row>
    <row r="699" spans="1:1" x14ac:dyDescent="0.25">
      <c r="A699" s="1" t="s">
        <v>484</v>
      </c>
    </row>
    <row r="700" spans="1:1" x14ac:dyDescent="0.25">
      <c r="A700" s="1" t="s">
        <v>276</v>
      </c>
    </row>
    <row r="701" spans="1:1" x14ac:dyDescent="0.25">
      <c r="A701" s="1" t="s">
        <v>57</v>
      </c>
    </row>
    <row r="702" spans="1:1" x14ac:dyDescent="0.25">
      <c r="A702" s="1" t="s">
        <v>485</v>
      </c>
    </row>
    <row r="703" spans="1:1" x14ac:dyDescent="0.25">
      <c r="A703" s="1" t="s">
        <v>159</v>
      </c>
    </row>
    <row r="704" spans="1:1" x14ac:dyDescent="0.25">
      <c r="A704" s="1" t="s">
        <v>148</v>
      </c>
    </row>
    <row r="705" spans="1:1" x14ac:dyDescent="0.25">
      <c r="A705" s="1" t="s">
        <v>161</v>
      </c>
    </row>
    <row r="706" spans="1:1" x14ac:dyDescent="0.25">
      <c r="A706" s="1" t="s">
        <v>6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12"/>
  <sheetViews>
    <sheetView view="pageBreakPreview" topLeftCell="D1" zoomScaleNormal="100" zoomScaleSheetLayoutView="100" workbookViewId="0">
      <selection activeCell="N5" sqref="N5"/>
    </sheetView>
  </sheetViews>
  <sheetFormatPr defaultRowHeight="15" x14ac:dyDescent="0.25"/>
  <cols>
    <col min="1" max="1" width="9.85546875" bestFit="1" customWidth="1"/>
    <col min="2" max="2" width="37" bestFit="1" customWidth="1"/>
    <col min="3" max="3" width="14.5703125" customWidth="1"/>
    <col min="4" max="4" width="15.7109375" bestFit="1" customWidth="1"/>
    <col min="5" max="5" width="13.7109375" bestFit="1" customWidth="1"/>
    <col min="6" max="6" width="17.28515625" customWidth="1"/>
    <col min="7" max="7" width="13.140625" bestFit="1" customWidth="1"/>
    <col min="8" max="8" width="18" bestFit="1" customWidth="1"/>
    <col min="9" max="10" width="15.85546875" bestFit="1" customWidth="1"/>
    <col min="11" max="11" width="21" customWidth="1"/>
    <col min="12" max="12" width="15.42578125" bestFit="1" customWidth="1"/>
    <col min="13" max="13" width="21" bestFit="1" customWidth="1"/>
    <col min="14" max="14" width="23.140625" customWidth="1"/>
    <col min="15" max="15" width="21.85546875" bestFit="1" customWidth="1"/>
    <col min="16" max="16" width="23.85546875" bestFit="1" customWidth="1"/>
    <col min="17" max="17" width="16.28515625" customWidth="1"/>
    <col min="18" max="18" width="28.28515625" bestFit="1" customWidth="1"/>
  </cols>
  <sheetData>
    <row r="1" spans="1:18" x14ac:dyDescent="0.25">
      <c r="A1" s="34" t="s">
        <v>73</v>
      </c>
      <c r="B1" s="32" t="s">
        <v>74</v>
      </c>
      <c r="C1" s="32" t="s">
        <v>75</v>
      </c>
      <c r="D1" s="32" t="s">
        <v>76</v>
      </c>
      <c r="E1" s="32" t="s">
        <v>77</v>
      </c>
      <c r="F1" s="32" t="s">
        <v>78</v>
      </c>
      <c r="G1" s="32" t="s">
        <v>79</v>
      </c>
      <c r="H1" s="32" t="s">
        <v>80</v>
      </c>
      <c r="I1" s="32" t="s">
        <v>81</v>
      </c>
      <c r="J1" s="32" t="s">
        <v>82</v>
      </c>
      <c r="K1" s="32" t="s">
        <v>83</v>
      </c>
      <c r="L1" s="32" t="s">
        <v>84</v>
      </c>
      <c r="M1" s="32" t="s">
        <v>85</v>
      </c>
      <c r="N1" s="32" t="s">
        <v>86</v>
      </c>
      <c r="O1" s="32" t="s">
        <v>87</v>
      </c>
      <c r="P1" s="32" t="s">
        <v>134</v>
      </c>
      <c r="Q1" s="32" t="s">
        <v>135</v>
      </c>
      <c r="R1" s="32" t="s">
        <v>446</v>
      </c>
    </row>
    <row r="2" spans="1:18" x14ac:dyDescent="0.25">
      <c r="A2" s="35" t="s">
        <v>88</v>
      </c>
      <c r="B2" s="36" t="s">
        <v>89</v>
      </c>
      <c r="C2" s="37" t="s">
        <v>90</v>
      </c>
      <c r="D2" s="36" t="s">
        <v>91</v>
      </c>
      <c r="E2" s="37" t="s">
        <v>92</v>
      </c>
      <c r="F2" s="36" t="s">
        <v>93</v>
      </c>
      <c r="G2" s="37" t="s">
        <v>94</v>
      </c>
      <c r="H2" s="36" t="s">
        <v>95</v>
      </c>
      <c r="I2" s="37" t="s">
        <v>96</v>
      </c>
      <c r="J2" s="38" t="s">
        <v>97</v>
      </c>
      <c r="K2" s="39" t="s">
        <v>98</v>
      </c>
      <c r="L2" s="37" t="s">
        <v>99</v>
      </c>
      <c r="M2" s="38" t="s">
        <v>99</v>
      </c>
      <c r="N2" s="37" t="s">
        <v>100</v>
      </c>
      <c r="O2" s="40" t="s">
        <v>101</v>
      </c>
      <c r="P2" s="38" t="s">
        <v>117</v>
      </c>
      <c r="Q2" s="38" t="s">
        <v>136</v>
      </c>
      <c r="R2" s="38" t="s">
        <v>447</v>
      </c>
    </row>
    <row r="3" spans="1:18" x14ac:dyDescent="0.25">
      <c r="A3" s="33"/>
      <c r="B3" s="36" t="s">
        <v>102</v>
      </c>
      <c r="C3" s="37" t="s">
        <v>103</v>
      </c>
      <c r="D3" s="36" t="s">
        <v>104</v>
      </c>
      <c r="E3" s="37" t="s">
        <v>105</v>
      </c>
      <c r="F3" s="41"/>
      <c r="G3" s="37" t="s">
        <v>106</v>
      </c>
      <c r="H3" s="41"/>
      <c r="I3" s="37" t="s">
        <v>107</v>
      </c>
      <c r="J3" s="38" t="s">
        <v>108</v>
      </c>
      <c r="K3" s="39">
        <v>510823198</v>
      </c>
      <c r="L3" s="37" t="s">
        <v>109</v>
      </c>
      <c r="M3" s="38" t="s">
        <v>109</v>
      </c>
      <c r="N3" s="38" t="s">
        <v>110</v>
      </c>
      <c r="O3" s="33"/>
      <c r="P3" s="38" t="s">
        <v>123</v>
      </c>
      <c r="Q3" s="38" t="s">
        <v>137</v>
      </c>
      <c r="R3" s="38" t="s">
        <v>448</v>
      </c>
    </row>
    <row r="4" spans="1:18" x14ac:dyDescent="0.25">
      <c r="A4" s="33"/>
      <c r="B4" s="42"/>
      <c r="C4" s="37" t="s">
        <v>111</v>
      </c>
      <c r="D4" s="38" t="s">
        <v>112</v>
      </c>
      <c r="E4" s="37" t="s">
        <v>113</v>
      </c>
      <c r="F4" s="41"/>
      <c r="G4" s="37" t="s">
        <v>114</v>
      </c>
      <c r="H4" s="41"/>
      <c r="I4" s="37" t="s">
        <v>115</v>
      </c>
      <c r="J4" s="38" t="s">
        <v>116</v>
      </c>
      <c r="K4" s="39">
        <v>510827105</v>
      </c>
      <c r="L4" s="41"/>
      <c r="M4" s="41"/>
      <c r="N4" s="37" t="s">
        <v>117</v>
      </c>
      <c r="O4" s="33"/>
      <c r="P4" s="38"/>
      <c r="Q4" s="38" t="s">
        <v>138</v>
      </c>
      <c r="R4" s="33"/>
    </row>
    <row r="5" spans="1:18" x14ac:dyDescent="0.25">
      <c r="A5" s="33"/>
      <c r="B5" s="43"/>
      <c r="C5" s="37" t="s">
        <v>118</v>
      </c>
      <c r="D5" s="38" t="s">
        <v>119</v>
      </c>
      <c r="E5" s="41"/>
      <c r="F5" s="41"/>
      <c r="G5" s="37" t="s">
        <v>120</v>
      </c>
      <c r="H5" s="41"/>
      <c r="I5" s="36" t="s">
        <v>121</v>
      </c>
      <c r="J5" s="38" t="s">
        <v>122</v>
      </c>
      <c r="K5" s="39">
        <v>510833209</v>
      </c>
      <c r="L5" s="41"/>
      <c r="M5" s="41"/>
      <c r="N5" s="38" t="s">
        <v>123</v>
      </c>
      <c r="O5" s="33"/>
      <c r="P5" s="38"/>
      <c r="Q5" s="38" t="s">
        <v>139</v>
      </c>
      <c r="R5" s="33"/>
    </row>
    <row r="6" spans="1:18" x14ac:dyDescent="0.25">
      <c r="A6" s="33"/>
      <c r="B6" s="43"/>
      <c r="C6" s="38" t="s">
        <v>124</v>
      </c>
      <c r="D6" s="43"/>
      <c r="E6" s="41"/>
      <c r="F6" s="41"/>
      <c r="G6" s="41"/>
      <c r="H6" s="41"/>
      <c r="I6" s="36" t="s">
        <v>125</v>
      </c>
      <c r="J6" s="38" t="s">
        <v>126</v>
      </c>
      <c r="K6" s="41"/>
      <c r="L6" s="41"/>
      <c r="M6" s="41"/>
      <c r="N6" s="33"/>
      <c r="O6" s="33"/>
      <c r="P6" s="33"/>
      <c r="Q6" s="38" t="s">
        <v>140</v>
      </c>
      <c r="R6" s="33"/>
    </row>
    <row r="7" spans="1:18" x14ac:dyDescent="0.25">
      <c r="A7" s="33"/>
      <c r="B7" s="43"/>
      <c r="C7" s="43"/>
      <c r="D7" s="43"/>
      <c r="E7" s="41"/>
      <c r="F7" s="41"/>
      <c r="G7" s="41"/>
      <c r="H7" s="41"/>
      <c r="I7" s="36" t="s">
        <v>127</v>
      </c>
      <c r="J7" s="38" t="s">
        <v>128</v>
      </c>
      <c r="K7" s="41"/>
      <c r="L7" s="41"/>
      <c r="M7" s="41"/>
      <c r="N7" s="33"/>
      <c r="O7" s="33"/>
      <c r="P7" s="33"/>
      <c r="Q7" s="33"/>
      <c r="R7" s="33"/>
    </row>
    <row r="8" spans="1:18" x14ac:dyDescent="0.25">
      <c r="A8" s="33"/>
      <c r="B8" s="43"/>
      <c r="C8" s="43"/>
      <c r="D8" s="43"/>
      <c r="E8" s="41"/>
      <c r="F8" s="41"/>
      <c r="G8" s="41"/>
      <c r="H8" s="41"/>
      <c r="I8" s="41"/>
      <c r="J8" s="38" t="s">
        <v>129</v>
      </c>
      <c r="K8" s="41"/>
      <c r="L8" s="41"/>
      <c r="M8" s="41"/>
      <c r="N8" s="33"/>
      <c r="O8" s="33"/>
      <c r="P8" s="33"/>
      <c r="Q8" s="33"/>
      <c r="R8" s="33"/>
    </row>
    <row r="9" spans="1:18" x14ac:dyDescent="0.25">
      <c r="A9" s="33"/>
      <c r="B9" s="43"/>
      <c r="C9" s="43"/>
      <c r="D9" s="43"/>
      <c r="E9" s="33"/>
      <c r="F9" s="33"/>
      <c r="G9" s="33"/>
      <c r="H9" s="33"/>
      <c r="I9" s="33"/>
      <c r="J9" s="37" t="s">
        <v>130</v>
      </c>
      <c r="K9" s="33"/>
      <c r="L9" s="41"/>
      <c r="M9" s="33"/>
      <c r="N9" s="33"/>
      <c r="O9" s="33"/>
      <c r="P9" s="33"/>
      <c r="Q9" s="33"/>
      <c r="R9" s="33"/>
    </row>
    <row r="10" spans="1:18" x14ac:dyDescent="0.25">
      <c r="A10" s="33"/>
      <c r="B10" s="43"/>
      <c r="C10" s="43"/>
      <c r="D10" s="43"/>
      <c r="E10" s="33"/>
      <c r="F10" s="33"/>
      <c r="G10" s="33"/>
      <c r="H10" s="33"/>
      <c r="I10" s="33"/>
      <c r="J10" s="37" t="s">
        <v>131</v>
      </c>
      <c r="K10" s="33"/>
      <c r="L10" s="33"/>
      <c r="M10" s="33"/>
      <c r="N10" s="33"/>
      <c r="O10" s="33"/>
      <c r="P10" s="33"/>
      <c r="Q10" s="33"/>
      <c r="R10" s="33"/>
    </row>
    <row r="11" spans="1:18" x14ac:dyDescent="0.25">
      <c r="A11" s="33"/>
      <c r="B11" s="43"/>
      <c r="C11" s="43"/>
      <c r="D11" s="43"/>
      <c r="E11" s="33"/>
      <c r="F11" s="33"/>
      <c r="G11" s="33"/>
      <c r="H11" s="33"/>
      <c r="I11" s="33"/>
      <c r="J11" s="38" t="s">
        <v>132</v>
      </c>
      <c r="K11" s="33"/>
      <c r="L11" s="33"/>
      <c r="M11" s="33"/>
      <c r="N11" s="33"/>
      <c r="O11" s="33"/>
      <c r="P11" s="33"/>
      <c r="Q11" s="33"/>
      <c r="R11" s="33"/>
    </row>
    <row r="12" spans="1:18" x14ac:dyDescent="0.25">
      <c r="A12" s="33"/>
      <c r="B12" s="43"/>
      <c r="C12" s="43"/>
      <c r="D12" s="43"/>
      <c r="E12" s="33"/>
      <c r="F12" s="33"/>
      <c r="G12" s="33"/>
      <c r="H12" s="33"/>
      <c r="I12" s="33"/>
      <c r="J12" s="38" t="s">
        <v>133</v>
      </c>
      <c r="K12" s="33"/>
      <c r="L12" s="33"/>
      <c r="M12" s="33"/>
      <c r="N12" s="33"/>
      <c r="O12" s="33"/>
      <c r="P12" s="33"/>
      <c r="Q12" s="33"/>
      <c r="R12" s="33"/>
    </row>
  </sheetData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11"/>
  <sheetViews>
    <sheetView workbookViewId="0">
      <selection activeCell="C11" sqref="C11"/>
    </sheetView>
  </sheetViews>
  <sheetFormatPr defaultRowHeight="15" x14ac:dyDescent="0.25"/>
  <cols>
    <col min="1" max="1" width="9.85546875" bestFit="1" customWidth="1"/>
  </cols>
  <sheetData>
    <row r="1" spans="1:1" x14ac:dyDescent="0.25">
      <c r="A1" s="52" t="s">
        <v>355</v>
      </c>
    </row>
    <row r="2" spans="1:1" x14ac:dyDescent="0.25">
      <c r="A2" s="51" t="s">
        <v>185</v>
      </c>
    </row>
    <row r="3" spans="1:1" x14ac:dyDescent="0.25">
      <c r="A3" s="51" t="s">
        <v>210</v>
      </c>
    </row>
    <row r="4" spans="1:1" x14ac:dyDescent="0.25">
      <c r="A4" s="51" t="s">
        <v>354</v>
      </c>
    </row>
    <row r="5" spans="1:1" x14ac:dyDescent="0.25">
      <c r="A5" s="51" t="s">
        <v>46</v>
      </c>
    </row>
    <row r="6" spans="1:1" x14ac:dyDescent="0.25">
      <c r="A6" s="51" t="s">
        <v>204</v>
      </c>
    </row>
    <row r="7" spans="1:1" x14ac:dyDescent="0.25">
      <c r="A7" s="51" t="s">
        <v>143</v>
      </c>
    </row>
    <row r="8" spans="1:1" x14ac:dyDescent="0.25">
      <c r="A8" s="51" t="s">
        <v>147</v>
      </c>
    </row>
    <row r="9" spans="1:1" x14ac:dyDescent="0.25">
      <c r="A9" s="51" t="s">
        <v>57</v>
      </c>
    </row>
    <row r="10" spans="1:1" x14ac:dyDescent="0.25">
      <c r="A10" s="51" t="s">
        <v>52</v>
      </c>
    </row>
    <row r="11" spans="1:1" x14ac:dyDescent="0.25">
      <c r="A11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32</vt:i4>
      </vt:variant>
    </vt:vector>
  </HeadingPairs>
  <TitlesOfParts>
    <vt:vector size="64" baseType="lpstr">
      <vt:lpstr>Report Total</vt:lpstr>
      <vt:lpstr>Report Template (23)</vt:lpstr>
      <vt:lpstr>Report Template (22)</vt:lpstr>
      <vt:lpstr>Report Template (21)</vt:lpstr>
      <vt:lpstr>Report Template (20)</vt:lpstr>
      <vt:lpstr>Report Template (19)</vt:lpstr>
      <vt:lpstr>Report Template (18)</vt:lpstr>
      <vt:lpstr>Report Template (17)</vt:lpstr>
      <vt:lpstr>Report Template (16)</vt:lpstr>
      <vt:lpstr>Report Template (15)</vt:lpstr>
      <vt:lpstr>Report Template (14)</vt:lpstr>
      <vt:lpstr>Report Template (13)</vt:lpstr>
      <vt:lpstr>Report Template (12)</vt:lpstr>
      <vt:lpstr>Report Template (11)</vt:lpstr>
      <vt:lpstr>Report Template (10)</vt:lpstr>
      <vt:lpstr>Report Template (9)</vt:lpstr>
      <vt:lpstr>Report Template (8)</vt:lpstr>
      <vt:lpstr>Report Template (7)</vt:lpstr>
      <vt:lpstr>Report Template (6)</vt:lpstr>
      <vt:lpstr>Report Template (5)</vt:lpstr>
      <vt:lpstr>Report Template (4)</vt:lpstr>
      <vt:lpstr>Report Template (3)</vt:lpstr>
      <vt:lpstr>Report Template (2)</vt:lpstr>
      <vt:lpstr>Report Template</vt:lpstr>
      <vt:lpstr>Report Por Projeto</vt:lpstr>
      <vt:lpstr>RefDaten</vt:lpstr>
      <vt:lpstr>NC</vt:lpstr>
      <vt:lpstr>Melhorias</vt:lpstr>
      <vt:lpstr>AltEng</vt:lpstr>
      <vt:lpstr>Outros</vt:lpstr>
      <vt:lpstr>Folha de Apoio</vt:lpstr>
      <vt:lpstr>Folha de Apoio2</vt:lpstr>
      <vt:lpstr>AltEng!AlteraçãoEng_2</vt:lpstr>
      <vt:lpstr>AltEng!AlteraçãoEng_3</vt:lpstr>
      <vt:lpstr>AltEng!AlteraçãoEng_4</vt:lpstr>
      <vt:lpstr>Melhorias!Melhorias</vt:lpstr>
      <vt:lpstr>NC!NC</vt:lpstr>
      <vt:lpstr>Outros!Outros</vt:lpstr>
      <vt:lpstr>'Report Por Projeto'!Print_Area</vt:lpstr>
      <vt:lpstr>'Report Template'!Print_Area</vt:lpstr>
      <vt:lpstr>'Report Template (10)'!Print_Area</vt:lpstr>
      <vt:lpstr>'Report Template (11)'!Print_Area</vt:lpstr>
      <vt:lpstr>'Report Template (12)'!Print_Area</vt:lpstr>
      <vt:lpstr>'Report Template (13)'!Print_Area</vt:lpstr>
      <vt:lpstr>'Report Template (14)'!Print_Area</vt:lpstr>
      <vt:lpstr>'Report Template (15)'!Print_Area</vt:lpstr>
      <vt:lpstr>'Report Template (16)'!Print_Area</vt:lpstr>
      <vt:lpstr>'Report Template (17)'!Print_Area</vt:lpstr>
      <vt:lpstr>'Report Template (18)'!Print_Area</vt:lpstr>
      <vt:lpstr>'Report Template (19)'!Print_Area</vt:lpstr>
      <vt:lpstr>'Report Template (2)'!Print_Area</vt:lpstr>
      <vt:lpstr>'Report Template (20)'!Print_Area</vt:lpstr>
      <vt:lpstr>'Report Template (21)'!Print_Area</vt:lpstr>
      <vt:lpstr>'Report Template (22)'!Print_Area</vt:lpstr>
      <vt:lpstr>'Report Template (23)'!Print_Area</vt:lpstr>
      <vt:lpstr>'Report Template (3)'!Print_Area</vt:lpstr>
      <vt:lpstr>'Report Template (4)'!Print_Area</vt:lpstr>
      <vt:lpstr>'Report Template (5)'!Print_Area</vt:lpstr>
      <vt:lpstr>'Report Template (6)'!Print_Area</vt:lpstr>
      <vt:lpstr>'Report Template (7)'!Print_Area</vt:lpstr>
      <vt:lpstr>'Report Template (8)'!Print_Area</vt:lpstr>
      <vt:lpstr>'Report Template (9)'!Print_Area</vt:lpstr>
      <vt:lpstr>'Report Total'!Print_Area</vt:lpstr>
      <vt:lpstr>RefDaten!RefDaten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2017-05-10T12:26:48Z</dcterms:modified>
</cp:coreProperties>
</file>